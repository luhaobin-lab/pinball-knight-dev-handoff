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5cbeac264f4e90" /></Relationships>
</file>

<file path=xl/workbook.xml><?xml version="1.0" encoding="utf-8"?>
<x:workbook xmlns:x="http://schemas.openxmlformats.org/spreadsheetml/2006/main">
  <x:sheets>
    <x:sheet xmlns:r="http://schemas.openxmlformats.org/officeDocument/2006/relationships" name="怪物总表" sheetId="1" r:id="R3d12835e43454a82"/>
    <x:sheet xmlns:r="http://schemas.openxmlformats.org/officeDocument/2006/relationships" name="机制细则" sheetId="2" r:id="R524b8ded25644668"/>
    <x:sheet xmlns:r="http://schemas.openxmlformats.org/officeDocument/2006/relationships" name="数值推演" sheetId="3" r:id="R2334e3eb92a048d4"/>
    <x:sheet xmlns:r="http://schemas.openxmlformats.org/officeDocument/2006/relationships" name="层级与出场" sheetId="4" r:id="Rdc8789d5189343c6"/>
    <x:sheet xmlns:r="http://schemas.openxmlformats.org/officeDocument/2006/relationships" name="行为与生成算法" sheetId="5" r:id="Rc6efbdcaa72047d9"/>
    <x:sheet xmlns:r="http://schemas.openxmlformats.org/officeDocument/2006/relationships" name="字段与来源" sheetId="6" r:id="R315e765c1dea4642"/>
    <x:sheet xmlns:r="http://schemas.openxmlformats.org/officeDocument/2006/relationships" name="检查与验收" sheetId="7" r:id="Rb06015cf8cfc42b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000"/>
    <x:numFmt numFmtId="203" formatCode="0.0%"/>
  </x:numFmts>
  <x:fonts count="6">
    <x:font>
      <x:sz val="11"/>
      <x:name val="Carlito"/>
    </x:font>
    <x:font>
      <x:sz val="11"/>
      <x:color rgb="FF263649"/>
      <x:name val="Arial"/>
    </x:font>
    <x:font>
      <x:b/>
      <x:sz val="16"/>
      <x:color rgb="FF293C55"/>
      <x:name val="Arial"/>
    </x:font>
    <x:font>
      <x:sz val="11"/>
      <x:color rgb="FF657389"/>
      <x:name val="Arial"/>
    </x:font>
    <x:font>
      <x:b/>
      <x:sz val="11"/>
      <x:color rgb="FFFFFFFF"/>
      <x:name val="Arial"/>
    </x:font>
    <x:font>
      <x:b/>
      <x:sz val="14"/>
      <x:color rgb="FF293C55"/>
      <x:name val="Arial"/>
    </x:font>
  </x:fonts>
  <x:fills count="6">
    <x:fill>
      <x:patternFill patternType="none"/>
    </x:fill>
    <x:fill>
      <x:patternFill patternType="gray125"/>
    </x:fill>
    <x:fill>
      <x:patternFill patternType="solid">
        <x:fgColor rgb="FFFFFFFF"/>
      </x:patternFill>
    </x:fill>
    <x:fill>
      <x:patternFill patternType="solid">
        <x:fgColor rgb="FF293C55"/>
      </x:patternFill>
    </x:fill>
    <x:fill>
      <x:patternFill patternType="solid">
        <x:fgColor rgb="FFF6F8FA"/>
      </x:patternFill>
    </x:fill>
    <x:fill>
      <x:patternFill patternType="solid">
        <x:fgColor rgb="FFFFF0C2"/>
      </x:patternFill>
    </x:fill>
  </x:fills>
  <x:borders count="5">
    <x:border>
      <x:left/>
      <x:right/>
      <x:top/>
      <x:bottom/>
      <x:diagonal/>
    </x:border>
    <x:border>
      <x:left/>
      <x:right/>
      <x:top/>
      <x:bottom style="thin">
        <x:color rgb="FFD9E0E8"/>
      </x:bottom>
      <x:diagonal/>
    </x:border>
    <x:border>
      <x:left/>
      <x:right/>
      <x:top/>
      <x:bottom style="thin">
        <x:color rgb="FFE6EBF1"/>
      </x:bottom>
      <x:diagonal/>
    </x:border>
    <x:border>
      <x:left/>
      <x:right/>
      <x:top style="thin">
        <x:color rgb="FFE6EBF1"/>
      </x:top>
      <x:bottom style="thin">
        <x:color rgb="FFE6EBF1"/>
      </x:bottom>
      <x:diagonal/>
    </x:border>
    <x:border>
      <x:left/>
      <x:right/>
      <x:top style="thin">
        <x:color rgb="FFE6EBF1"/>
      </x:top>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1" fillId="4" borderId="4" xfId="0" applyNumberFormat="1" applyFont="1" applyFill="1" applyBorder="1" applyAlignment="1">
      <x:alignment vertical="top" wrapText="1"/>
    </x:xf>
    <x:xf numFmtId="200" fontId="1" fillId="2" borderId="2" xfId="0" applyNumberFormat="1" applyFont="1" applyFill="1" applyBorder="1" applyAlignment="1">
      <x:alignment vertical="top" wrapText="1"/>
    </x:xf>
    <x:xf numFmtId="200" fontId="1" fillId="4" borderId="3" xfId="0" applyNumberFormat="1" applyFont="1" applyFill="1" applyBorder="1" applyAlignment="1">
      <x:alignment vertical="top" wrapText="1"/>
    </x:xf>
    <x:xf numFmtId="200" fontId="1" fillId="2" borderId="3" xfId="0" applyNumberFormat="1" applyFont="1" applyFill="1" applyBorder="1" applyAlignment="1">
      <x:alignment vertical="top" wrapText="1"/>
    </x:xf>
    <x:xf numFmtId="200" fontId="1" fillId="4" borderId="4" xfId="0" applyNumberFormat="1" applyFont="1" applyFill="1" applyBorder="1" applyAlignment="1">
      <x:alignment vertical="top" wrapText="1"/>
    </x:xf>
    <x:xf numFmtId="200" fontId="1" fillId="2" borderId="2" xfId="0" applyNumberFormat="1" applyFont="1" applyFill="1" applyBorder="1" applyAlignment="1">
      <x:alignment horizontal="right" vertical="top" wrapText="1"/>
    </x:xf>
    <x:xf numFmtId="200" fontId="1" fillId="4" borderId="3" xfId="0" applyNumberFormat="1" applyFont="1" applyFill="1" applyBorder="1" applyAlignment="1">
      <x:alignment horizontal="right" vertical="top" wrapText="1"/>
    </x:xf>
    <x:xf numFmtId="200" fontId="1" fillId="2" borderId="3" xfId="0" applyNumberFormat="1" applyFont="1" applyFill="1" applyBorder="1" applyAlignment="1">
      <x:alignment horizontal="right" vertical="top" wrapText="1"/>
    </x:xf>
    <x:xf numFmtId="200" fontId="1" fillId="4" borderId="4" xfId="0" applyNumberFormat="1" applyFont="1" applyFill="1" applyBorder="1" applyAlignment="1">
      <x:alignment horizontal="right" vertical="top" wrapText="1"/>
    </x:xf>
    <x:xf numFmtId="201" fontId="1" fillId="2" borderId="2" xfId="0" applyNumberFormat="1" applyFont="1" applyFill="1" applyBorder="1" applyAlignment="1">
      <x:alignment horizontal="right" vertical="top" wrapText="1"/>
    </x:xf>
    <x:xf numFmtId="201" fontId="1" fillId="4" borderId="3" xfId="0" applyNumberFormat="1" applyFont="1" applyFill="1" applyBorder="1" applyAlignment="1">
      <x:alignment horizontal="right" vertical="top" wrapText="1"/>
    </x:xf>
    <x:xf numFmtId="201" fontId="1" fillId="2" borderId="3" xfId="0" applyNumberFormat="1" applyFont="1" applyFill="1" applyBorder="1" applyAlignment="1">
      <x:alignment horizontal="right" vertical="top" wrapText="1"/>
    </x:xf>
    <x:xf numFmtId="201" fontId="1" fillId="4" borderId="4" xfId="0" applyNumberFormat="1" applyFont="1" applyFill="1" applyBorder="1" applyAlignment="1">
      <x:alignment horizontal="right" vertical="top" wrapText="1"/>
    </x:xf>
    <x:xf numFmtId="0" fontId="1" fillId="5" borderId="0" xfId="0" applyNumberFormat="1" applyFont="1" applyFill="1" applyBorder="1" applyAlignment="1">
      <x:alignment vertical="center"/>
    </x:xf>
    <x:xf numFmtId="0" fontId="5" fillId="0" borderId="0" xfId="0" applyNumberFormat="1" applyFont="1" applyFill="1" applyBorder="1"/>
    <x:xf numFmtId="0" fontId="0" fillId="5" borderId="0" xfId="0" applyNumberFormat="1" applyFont="1" applyFill="1" applyBorder="1"/>
    <x:xf numFmtId="201" fontId="0" fillId="5" borderId="0" xfId="0" applyNumberFormat="1" applyFont="1" applyFill="1" applyBorder="1"/>
    <x:xf numFmtId="202" fontId="1" fillId="2" borderId="0" xfId="0" applyNumberFormat="1" applyFont="1" applyFill="1" applyBorder="1" applyAlignment="1">
      <x:alignment vertical="center"/>
    </x:xf>
    <x:xf numFmtId="0" fontId="0" fillId="0" borderId="0" xfId="0" applyNumberFormat="1" applyFont="1" applyFill="1" applyBorder="1" applyAlignment="1">
      <x:alignment wrapText="0"/>
    </x:xf>
    <x:xf numFmtId="202" fontId="1" fillId="2" borderId="2" xfId="0" applyNumberFormat="1" applyFont="1" applyFill="1" applyBorder="1" applyAlignment="1">
      <x:alignment horizontal="right" vertical="top" wrapText="1"/>
    </x:xf>
    <x:xf numFmtId="202" fontId="1" fillId="4" borderId="3" xfId="0" applyNumberFormat="1" applyFont="1" applyFill="1" applyBorder="1" applyAlignment="1">
      <x:alignment horizontal="right" vertical="top" wrapText="1"/>
    </x:xf>
    <x:xf numFmtId="202" fontId="1" fillId="2" borderId="3" xfId="0" applyNumberFormat="1" applyFont="1" applyFill="1" applyBorder="1" applyAlignment="1">
      <x:alignment horizontal="right" vertical="top" wrapText="1"/>
    </x:xf>
    <x:xf numFmtId="202" fontId="1" fillId="4" borderId="4" xfId="0" applyNumberFormat="1" applyFont="1" applyFill="1" applyBorder="1" applyAlignment="1">
      <x:alignment horizontal="right" vertical="top" wrapText="1"/>
    </x:xf>
    <x:xf numFmtId="203" fontId="1" fillId="2" borderId="2" xfId="0" applyNumberFormat="1" applyFont="1" applyFill="1" applyBorder="1" applyAlignment="1">
      <x:alignment horizontal="right" vertical="top" wrapText="1"/>
    </x:xf>
    <x:xf numFmtId="203" fontId="1" fillId="4" borderId="3" xfId="0" applyNumberFormat="1" applyFont="1" applyFill="1" applyBorder="1" applyAlignment="1">
      <x:alignment horizontal="right" vertical="top" wrapText="1"/>
    </x:xf>
    <x:xf numFmtId="203" fontId="1" fillId="2" borderId="3" xfId="0" applyNumberFormat="1" applyFont="1" applyFill="1" applyBorder="1" applyAlignment="1">
      <x:alignment horizontal="right" vertical="top" wrapText="1"/>
    </x:xf>
    <x:xf numFmtId="203" fontId="1" fillId="4" borderId="4" xfId="0" applyNumberFormat="1" applyFont="1" applyFill="1" applyBorder="1" applyAlignment="1">
      <x:alignment horizontal="right" vertical="top" wrapText="1"/>
    </x:xf>
  </x:cellXfs>
  <x:cellStyles count="1">
    <x:cellStyle name="Normal" xfId="0"/>
  </x:cellStyles>
  <x:dxfs count="3">
    <x:dxf>
      <x:font>
        <x:b/>
        <x:color rgb="FF813D55"/>
      </x:font>
      <x:fill>
        <x:patternFill patternType="solid">
          <x:bgColor rgb="FFF3E8EC"/>
        </x:patternFill>
      </x:fill>
    </x:dxf>
    <x:dxf>
      <x:font>
        <x:color rgb="FF8A939E"/>
      </x:font>
    </x:dxf>
    <x:dxf>
      <x:font>
        <x:b/>
        <x:color rgb="FFA12727"/>
      </x:font>
      <x:fill>
        <x:patternFill patternType="solid">
          <x:bgColor rgb="FFF8DE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a0b88d133344ec" /><Relationship Type="http://schemas.openxmlformats.org/officeDocument/2006/relationships/theme" Target="/xl/theme/theme1.xml" Id="R62d5377be2264ea2" /><Relationship Type="http://schemas.openxmlformats.org/officeDocument/2006/relationships/sharedStrings" Target="/xl/sharedStrings.xml" Id="R65385510e26e41f4" /><Relationship Type="http://schemas.openxmlformats.org/officeDocument/2006/relationships/worksheet" Target="/xl/worksheets/sheet1.xml" Id="R3d12835e43454a82" /><Relationship Type="http://schemas.openxmlformats.org/officeDocument/2006/relationships/worksheet" Target="/xl/worksheets/sheet2.xml" Id="R524b8ded25644668" /><Relationship Type="http://schemas.openxmlformats.org/officeDocument/2006/relationships/worksheet" Target="/xl/worksheets/sheet3.xml" Id="R2334e3eb92a048d4" /><Relationship Type="http://schemas.openxmlformats.org/officeDocument/2006/relationships/worksheet" Target="/xl/worksheets/sheet4.xml" Id="Rdc8789d5189343c6" /><Relationship Type="http://schemas.openxmlformats.org/officeDocument/2006/relationships/worksheet" Target="/xl/worksheets/sheet5.xml" Id="Rc6efbdcaa72047d9" /><Relationship Type="http://schemas.openxmlformats.org/officeDocument/2006/relationships/worksheet" Target="/xl/worksheets/sheet6.xml" Id="R315e765c1dea4642" /><Relationship Type="http://schemas.openxmlformats.org/officeDocument/2006/relationships/worksheet" Target="/xl/worksheets/sheet7.xml" Id="Rb06015cf8cfc42bf" /></Relationships>
</file>

<file path=xl/tables/table1.xml><?xml version="1.0" encoding="utf-8"?>
<x:table xmlns:x="http://schemas.openxmlformats.org/spreadsheetml/2006/main" id="1" name="MonsterCatalog" displayName="MonsterCatalog" ref="A5:X105" headerRowCount="1" totalsRowCount="0" totalsRowShown="0">
  <x:autoFilter ref="A5:X105"/>
  <x:tableColumns count="24">
    <x:tableColumn id="1" name="编号"/>
    <x:tableColumn id="2" name="怪物名称"/>
    <x:tableColumn id="3" name="分类"/>
    <x:tableColumn id="4" name="行为家族"/>
    <x:tableColumn id="5" name="解锁层"/>
    <x:tableColumn id="6" name="最早波"/>
    <x:tableColumn id="7" name="基型生命"/>
    <x:tableColumn id="8" name="基型伤害"/>
    <x:tableColumn id="9" name="治愈基值"/>
    <x:tableColumn id="10" name="强固基值"/>
    <x:tableColumn id="11" name="主动作倍率"/>
    <x:tableColumn id="12" name="预算基值"/>
    <x:tableColumn id="13" name="附属位预留"/>
    <x:tableColumn id="14" name="主要特点"/>
    <x:tableColumn id="15" name="源外观RowName"/>
    <x:tableColumn id="16" name="精英父型"/>
    <x:tableColumn id="17" name="主题"/>
    <x:tableColumn id="18" name="定位"/>
    <x:tableColumn id="19" name="伤害类型"/>
    <x:tableColumn id="20" name="伤害来源"/>
    <x:tableColumn id="21" name="移动上限_格"/>
    <x:tableColumn id="22" name="行为范围_格"/>
    <x:tableColumn id="23" name="编队标签"/>
    <x:tableColumn id="24" name="分支伤害来源"/>
  </x:tableColumns>
  <x:tableStyleInfo name="TableStyleLight9" showFirstColumn="0" showLastColumn="0" showRowStripes="1" showColumnStripes="0"/>
</x:table>
</file>

<file path=xl/tables/table2.xml><?xml version="1.0" encoding="utf-8"?>
<x:table xmlns:x="http://schemas.openxmlformats.org/spreadsheetml/2006/main" id="2" name="MonsterMechanics" displayName="MonsterMechanics" ref="A5:J105" headerRowCount="1" totalsRowCount="0" totalsRowShown="0">
  <x:autoFilter ref="A5:J105"/>
  <x:tableColumns count="10">
    <x:tableColumn id="1" name="编号"/>
    <x:tableColumn id="2" name="怪物名称"/>
    <x:tableColumn id="3" name="同族机制差异"/>
    <x:tableColumn id="4" name="动作循环与事件分支"/>
    <x:tableColumn id="5" name="目标与锁定"/>
    <x:tableColumn id="6" name="行为参数"/>
    <x:tableColumn id="7" name="玩家反制"/>
    <x:tableColumn id="8" name="边界、禁配与风险"/>
    <x:tableColumn id="9" name="实施任务与验收场景"/>
    <x:tableColumn id="10" name="数值取舍"/>
  </x:tableColumns>
  <x:tableStyleInfo name="TableStyleLight9" showFirstColumn="0" showLastColumn="0" showRowStripes="1" showColumnStripes="0"/>
</x:table>
</file>

<file path=xl/tables/table3.xml><?xml version="1.0" encoding="utf-8"?>
<x:table xmlns:x="http://schemas.openxmlformats.org/spreadsheetml/2006/main" id="3" name="MonsterProjection" displayName="MonsterProjection" ref="A8:L108" headerRowCount="1" totalsRowCount="0" totalsRowShown="0">
  <x:autoFilter ref="A8:L108"/>
  <x:tableColumns count="12">
    <x:tableColumn id="1" name="编号"/>
    <x:tableColumn id="2" name="怪物名称"/>
    <x:tableColumn id="3" name="层/波门槛"/>
    <x:tableColumn id="4" name="分类"/>
    <x:tableColumn id="5" name="实际生命"/>
    <x:tableColumn id="6" name="基础伤害"/>
    <x:tableColumn id="7" name="主动作参考伤害"/>
    <x:tableColumn id="8" name="一次治愈"/>
    <x:tableColumn id="9" name="一次强固"/>
    <x:tableColumn id="10" name="有效预算"/>
    <x:tableColumn id="11" name="总实体预留"/>
    <x:tableColumn id="12" name="解锁层标准波生命"/>
  </x:tableColumns>
  <x:tableStyleInfo name="TableStyleLight9" showFirstColumn="0" showLastColumn="0" showRowStripes="1" showColumnStripes="0"/>
</x:table>
</file>

<file path=xl/tables/table4.xml><?xml version="1.0" encoding="utf-8"?>
<x:table xmlns:x="http://schemas.openxmlformats.org/spreadsheetml/2006/main" id="4" name="FloorProgression" displayName="FloorProgression" ref="A5:M105" headerRowCount="1" totalsRowCount="0" totalsRowShown="0">
  <x:autoFilter ref="A5:M105"/>
  <x:tableColumns count="13">
    <x:tableColumn id="1" name="地牢层"/>
    <x:tableColumn id="2" name="主题"/>
    <x:tableColumn id="3" name="生命层倍率"/>
    <x:tableColumn id="4" name="伤害层倍率"/>
    <x:tableColumn id="5" name="已解锁普通"/>
    <x:tableColumn id="6" name="已解锁精英"/>
    <x:tableColumn id="7" name="下层开场/本层末波生命"/>
    <x:tableColumn id="8" name="第1波预算"/>
    <x:tableColumn id="9" name="第2波预算"/>
    <x:tableColumn id="10" name="第3波预算"/>
    <x:tableColumn id="11" name="第4波预算"/>
    <x:tableColumn id="12" name="第5波预算"/>
    <x:tableColumn id="13" name="第6波预算"/>
  </x:tableColumns>
  <x:tableStyleInfo name="TableStyleLight9" showFirstColumn="0" showLastColumn="0" showRowStripes="1" showColumnStripes="0"/>
</x:table>
</file>

<file path=xl/tables/table5.xml><?xml version="1.0" encoding="utf-8"?>
<x:table xmlns:x="http://schemas.openxmlformats.org/spreadsheetml/2006/main" id="5" name="BehaviorAlgorithms" displayName="BehaviorAlgorithms" ref="A5:E36" headerRowCount="1" totalsRowCount="0" totalsRowShown="0">
  <x:autoFilter ref="A5:E36"/>
  <x:tableColumns count="5">
    <x:tableColumn id="1" name="编号"/>
    <x:tableColumn id="2" name="算法"/>
    <x:tableColumn id="3" name="状态与执行步骤"/>
    <x:tableColumn id="4" name="失败与回退"/>
    <x:tableColumn id="5" name="适配与边界"/>
  </x:tableColumns>
  <x:tableStyleInfo name="TableStyleLight9" showFirstColumn="0" showLastColumn="0" showRowStripes="1" showColumnStripes="0"/>
</x:table>
</file>

<file path=xl/tables/table6.xml><?xml version="1.0" encoding="utf-8"?>
<x:table xmlns:x="http://schemas.openxmlformats.org/spreadsheetml/2006/main" id="6" name="FieldEvidence" displayName="FieldEvidence" ref="A5:F40" headerRowCount="1" totalsRowCount="0" totalsRowShown="0">
  <x:autoFilter ref="A5:F40"/>
  <x:tableColumns count="6">
    <x:tableColumn id="1" name="类别"/>
    <x:tableColumn id="2" name="设计字段/名称"/>
    <x:tableColumn id="3" name="原字段或类型"/>
    <x:tableColumn id="4" name="含义与适配"/>
    <x:tableColumn id="5" name="当前源定位"/>
    <x:tableColumn id="6" name="证据边界"/>
  </x:tableColumns>
  <x:tableStyleInfo name="TableStyleLight9" showFirstColumn="0" showLastColumn="0" showRowStripes="1" showColumnStripes="0"/>
</x:table>
</file>

<file path=xl/tables/table7.xml><?xml version="1.0" encoding="utf-8"?>
<x:table xmlns:x="http://schemas.openxmlformats.org/spreadsheetml/2006/main" id="7" name="ValidationMatrix" displayName="ValidationMatrix" ref="A5:D31" headerRowCount="1" totalsRowCount="0" totalsRowShown="0">
  <x:autoFilter ref="A5:D31"/>
  <x:tableColumns count="4">
    <x:tableColumn id="1" name="项目"/>
    <x:tableColumn id="2" name="状态"/>
    <x:tableColumn id="3" name="结果/要求"/>
    <x:tableColumn id="4" name="证据范围"/>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ec0613bcd9495b" /></Relationships>
</file>

<file path=xl/worksheets/_rels/sheet2.xml.rels>&#65279;<?xml version="1.0" encoding="utf-8"?><Relationships xmlns="http://schemas.openxmlformats.org/package/2006/relationships"><Relationship Type="http://schemas.openxmlformats.org/officeDocument/2006/relationships/table" Target="/xl/tables/table2.xml" Id="R4e1261cce9144aac" /></Relationships>
</file>

<file path=xl/worksheets/_rels/sheet3.xml.rels>&#65279;<?xml version="1.0" encoding="utf-8"?><Relationships xmlns="http://schemas.openxmlformats.org/package/2006/relationships"><Relationship Type="http://schemas.openxmlformats.org/officeDocument/2006/relationships/table" Target="/xl/tables/table3.xml" Id="R22a0ada6c9734483" /></Relationships>
</file>

<file path=xl/worksheets/_rels/sheet4.xml.rels>&#65279;<?xml version="1.0" encoding="utf-8"?><Relationships xmlns="http://schemas.openxmlformats.org/package/2006/relationships"><Relationship Type="http://schemas.openxmlformats.org/officeDocument/2006/relationships/table" Target="/xl/tables/table4.xml" Id="R15362c0dd31c4070" /></Relationships>
</file>

<file path=xl/worksheets/_rels/sheet5.xml.rels>&#65279;<?xml version="1.0" encoding="utf-8"?><Relationships xmlns="http://schemas.openxmlformats.org/package/2006/relationships"><Relationship Type="http://schemas.openxmlformats.org/officeDocument/2006/relationships/table" Target="/xl/tables/table5.xml" Id="R3fba03c04e064620" /></Relationships>
</file>

<file path=xl/worksheets/_rels/sheet6.xml.rels>&#65279;<?xml version="1.0" encoding="utf-8"?><Relationships xmlns="http://schemas.openxmlformats.org/package/2006/relationships"><Relationship Type="http://schemas.openxmlformats.org/officeDocument/2006/relationships/table" Target="/xl/tables/table6.xml" Id="Ra9e7d2fdca48440d" /></Relationships>
</file>

<file path=xl/worksheets/_rels/sheet7.xml.rels>&#65279;<?xml version="1.0" encoding="utf-8"?><Relationships xmlns="http://schemas.openxmlformats.org/package/2006/relationships"><Relationship Type="http://schemas.openxmlformats.org/officeDocument/2006/relationships/table" Target="/xl/tables/table7.xml" Id="R0c02e8c21bb64e0e" /></Relationships>
</file>

<file path=xl/worksheets/sheet1.xml><?xml version="1.0" encoding="utf-8"?>
<x:worksheet xmlns:x="http://schemas.openxmlformats.org/spreadsheetml/2006/main">
  <x:sheetPr>
    <x:tabColor rgb="FF293C55"/>
  </x:sheetPr>
  <x:sheetViews>
    <x:sheetView showGridLines="0" workbookViewId="0">
      <x:pane xSplit="2" ySplit="5" topLeftCell="C6" activePane="bottomRight" state="frozen"/>
    </x:sheetView>
  </x:sheetViews>
  <x:sheetFormatPr defaultRowHeight="15"/>
  <x:cols>
    <x:col min="1" max="1" width="12.4399995803833" hidden="0" customWidth="1"/>
    <x:col min="2" max="2" width="16.110000610351562" hidden="0" customWidth="1"/>
    <x:col min="3" max="3" width="7.559999942779541" hidden="0" customWidth="1"/>
    <x:col min="4" max="4" width="12.4399995803833" hidden="0" customWidth="1"/>
    <x:col min="5" max="5" width="8" hidden="0" customWidth="1"/>
    <x:col min="6" max="6" width="8" hidden="0" customWidth="1"/>
    <x:col min="7" max="7" width="9.109999656677246" hidden="0" customWidth="1"/>
    <x:col min="8" max="8" width="9.109999656677246" hidden="0" customWidth="1"/>
    <x:col min="9" max="9" width="9.109999656677246" hidden="0" customWidth="1"/>
    <x:col min="10" max="10" width="9.109999656677246" hidden="0" customWidth="1"/>
    <x:col min="11" max="11" width="9.5600004196167" hidden="0" customWidth="1"/>
    <x:col min="12" max="12" width="9.329999923706055" hidden="0" customWidth="1"/>
    <x:col min="13" max="13" width="9.779999732971191" hidden="0" customWidth="1"/>
    <x:col min="14" max="14" width="41.11000061035156" hidden="0" customWidth="1"/>
    <x:col min="15" max="15" width="16.670000076293945" hidden="0" customWidth="1"/>
    <x:col min="16" max="16" width="13.329999923706055" hidden="0" customWidth="1"/>
    <x:col min="17" max="17" width="8.890000343322754" hidden="0" customWidth="1"/>
    <x:col min="18" max="18" width="8.890000343322754" hidden="0" customWidth="1"/>
    <x:col min="19" max="19" width="9.4399995803833" hidden="0" customWidth="1"/>
    <x:col min="20" max="20" width="9.4399995803833" hidden="0" customWidth="1"/>
    <x:col min="21" max="21" width="11.109999656677246" hidden="0" customWidth="1"/>
    <x:col min="22" max="22" width="11.109999656677246" hidden="0" customWidth="1"/>
    <x:col min="23" max="23" width="25.559999465942383" hidden="0" customWidth="1"/>
    <x:col min="24" max="24" width="36.66999816894531" hidden="0" customWidth="1"/>
  </x:cols>
  <x:sheetData>
    <x:row r="1" ht="9" customHeight="1">
      <x:c r="A1" s="3"/>
      <x:c r="B1" s="3"/>
      <x:c r="C1" s="3"/>
      <x:c r="D1" s="3"/>
      <x:c r="E1" s="3"/>
      <x:c r="F1" s="3"/>
      <x:c r="G1" s="3"/>
      <x:c r="H1" s="3"/>
      <x:c r="I1" s="3"/>
      <x:c r="J1" s="3"/>
      <x:c r="K1" s="3"/>
      <x:c r="L1" s="3"/>
      <x:c r="M1" s="3"/>
      <x:c r="N1" s="3"/>
      <x:c r="O1" s="3"/>
      <x:c r="P1" s="3"/>
      <x:c r="Q1" s="3"/>
      <x:c r="R1" s="3"/>
      <x:c r="S1" s="3"/>
      <x:c r="T1" s="3"/>
      <x:c r="U1" s="3"/>
      <x:c r="V1" s="3"/>
      <x:c r="W1" s="3"/>
      <x:c r="X1" s="3"/>
    </x:row>
    <x:row r="2" ht="24" customHeight="1">
      <x:c r="A2" s="4" t="str">
        <x:v>无尽地牢怪物100种</x:v>
      </x:c>
      <x:c r="B2" s="3"/>
      <x:c r="C2" s="3"/>
      <x:c r="D2" s="3"/>
      <x:c r="E2" s="3"/>
      <x:c r="F2" s="3"/>
      <x:c r="G2" s="3"/>
      <x:c r="H2" s="3"/>
      <x:c r="I2" s="3"/>
      <x:c r="J2" s="3"/>
      <x:c r="K2" s="3"/>
      <x:c r="L2" s="3"/>
      <x:c r="M2" s="3"/>
      <x:c r="N2" s="3"/>
      <x:c r="O2" s="3"/>
      <x:c r="P2" s="3"/>
      <x:c r="Q2" s="3"/>
      <x:c r="R2" s="3"/>
      <x:c r="S2" s="3"/>
      <x:c r="T2" s="3"/>
      <x:c r="U2" s="3"/>
      <x:c r="V2" s="3"/>
      <x:c r="W2" s="3"/>
      <x:c r="X2" s="3"/>
    </x:row>
    <x:row r="3" ht="21" customHeight="1">
      <x:c r="A3" s="5" t="str">
        <x:v>80普通、20精英。基型数值未乘层数、波次或精英系数；均为项目测试值。源外观仅为复用线索，未验收100套美术或运行效果。</x:v>
      </x:c>
      <x:c r="B3" s="3"/>
      <x:c r="C3" s="3"/>
      <x:c r="D3" s="3"/>
      <x:c r="E3" s="3"/>
      <x:c r="F3" s="3"/>
      <x:c r="G3" s="3"/>
      <x:c r="H3" s="3"/>
      <x:c r="I3" s="3"/>
      <x:c r="J3" s="3"/>
      <x:c r="K3" s="3"/>
      <x:c r="L3" s="3"/>
      <x:c r="M3" s="3"/>
      <x:c r="N3" s="3"/>
      <x:c r="O3" s="3"/>
      <x:c r="P3" s="3"/>
      <x:c r="Q3" s="3"/>
      <x:c r="R3" s="3"/>
      <x:c r="S3" s="3"/>
      <x:c r="T3" s="3"/>
      <x:c r="U3" s="3"/>
      <x:c r="V3" s="3"/>
      <x:c r="W3" s="3"/>
      <x:c r="X3" s="3"/>
    </x:row>
    <x:row r="4">
      <x:c r="A4" s="6"/>
      <x:c r="B4" s="6"/>
      <x:c r="C4" s="6"/>
      <x:c r="D4" s="6"/>
      <x:c r="E4" s="6"/>
      <x:c r="F4" s="6"/>
      <x:c r="G4" s="6"/>
      <x:c r="H4" s="6"/>
      <x:c r="I4" s="6"/>
      <x:c r="J4" s="6"/>
      <x:c r="K4" s="6"/>
      <x:c r="L4" s="6"/>
      <x:c r="M4" s="6"/>
      <x:c r="N4" s="6"/>
      <x:c r="O4" s="6"/>
      <x:c r="P4" s="6"/>
      <x:c r="Q4" s="6"/>
      <x:c r="R4" s="6"/>
      <x:c r="S4" s="6"/>
      <x:c r="T4" s="6"/>
      <x:c r="U4" s="6"/>
      <x:c r="V4" s="6"/>
      <x:c r="W4" s="6"/>
      <x:c r="X4" s="6"/>
    </x:row>
    <x:row r="5" ht="36" customHeight="1">
      <x:c r="A5" s="10" t="str">
        <x:v>编号</x:v>
      </x:c>
      <x:c r="B5" s="10" t="str">
        <x:v>怪物名称</x:v>
      </x:c>
      <x:c r="C5" s="10" t="str">
        <x:v>分类</x:v>
      </x:c>
      <x:c r="D5" s="10" t="str">
        <x:v>行为家族</x:v>
      </x:c>
      <x:c r="E5" s="10" t="str">
        <x:v>解锁层</x:v>
      </x:c>
      <x:c r="F5" s="10" t="str">
        <x:v>最早波</x:v>
      </x:c>
      <x:c r="G5" s="10" t="str">
        <x:v>基型生命</x:v>
      </x:c>
      <x:c r="H5" s="10" t="str">
        <x:v>基型伤害</x:v>
      </x:c>
      <x:c r="I5" s="10" t="str">
        <x:v>治愈基值</x:v>
      </x:c>
      <x:c r="J5" s="10" t="str">
        <x:v>强固基值</x:v>
      </x:c>
      <x:c r="K5" s="10" t="str">
        <x:v>主动作倍率</x:v>
      </x:c>
      <x:c r="L5" s="10" t="str">
        <x:v>预算基值</x:v>
      </x:c>
      <x:c r="M5" s="10" t="str">
        <x:v>附属位预留</x:v>
      </x:c>
      <x:c r="N5" s="10" t="str">
        <x:v>主要特点</x:v>
      </x:c>
      <x:c r="O5" s="10" t="str">
        <x:v>源外观RowName</x:v>
      </x:c>
      <x:c r="P5" s="10" t="str">
        <x:v>精英父型</x:v>
      </x:c>
      <x:c r="Q5" s="10" t="str">
        <x:v>主题</x:v>
      </x:c>
      <x:c r="R5" s="10" t="str">
        <x:v>定位</x:v>
      </x:c>
      <x:c r="S5" s="10" t="str">
        <x:v>伤害类型</x:v>
      </x:c>
      <x:c r="T5" s="10" t="str">
        <x:v>伤害来源</x:v>
      </x:c>
      <x:c r="U5" s="10" t="str">
        <x:v>移动上限_格</x:v>
      </x:c>
      <x:c r="V5" s="10" t="str">
        <x:v>行为范围_格</x:v>
      </x:c>
      <x:c r="W5" s="10" t="str">
        <x:v>编队标签</x:v>
      </x:c>
      <x:c r="X5" s="10" t="str">
        <x:v>分支伤害来源</x:v>
      </x:c>
    </x:row>
    <x:row r="6" ht="31.5" customHeight="1">
      <x:c r="A6" s="13" t="str">
        <x:v>MON_N001</x:v>
      </x:c>
      <x:c r="B6" s="13" t="str">
        <x:v>追刃尸</x:v>
      </x:c>
      <x:c r="C6" s="13" t="str">
        <x:v>普通</x:v>
      </x:c>
      <x:c r="D6" s="13" t="str">
        <x:v>追击近战</x:v>
      </x:c>
      <x:c r="E6" s="22" t="n">
        <x:v>1</x:v>
      </x:c>
      <x:c r="F6" s="22" t="n">
        <x:v>1</x:v>
      </x:c>
      <x:c r="G6" s="22" t="n">
        <x:v>45</x:v>
      </x:c>
      <x:c r="H6" s="22" t="n">
        <x:v>6</x:v>
      </x:c>
      <x:c r="I6" s="22" t="n">
        <x:v>0</x:v>
      </x:c>
      <x:c r="J6" s="22" t="n">
        <x:v>0</x:v>
      </x:c>
      <x:c r="K6" s="26" t="n">
        <x:v>1</x:v>
      </x:c>
      <x:c r="L6" s="26" t="n">
        <x:v>2</x:v>
      </x:c>
      <x:c r="M6" s="22" t="n">
        <x:v>0</x:v>
      </x:c>
      <x:c r="N6" s="13" t="str">
        <x:v>先沿亮出的路线接近，再从预告终点近击一次。</x:v>
      </x:c>
      <x:c r="O6" s="13" t="str">
        <x:v>眼球</x:v>
      </x:c>
      <x:c r="P6" s="13" t="str"/>
      <x:c r="Q6" s="13" t="str">
        <x:v>血肉</x:v>
      </x:c>
      <x:c r="R6" s="13" t="str">
        <x:v>前排</x:v>
      </x:c>
      <x:c r="S6" s="13" t="str">
        <x:v>物理</x:v>
      </x:c>
      <x:c r="T6" s="13" t="str">
        <x:v>攻击</x:v>
      </x:c>
      <x:c r="U6" s="26" t="n">
        <x:v>1.5</x:v>
      </x:c>
      <x:c r="V6" s="26" t="n">
        <x:v>0.75</x:v>
      </x:c>
      <x:c r="W6" s="13" t="str">
        <x:v>frontline</x:v>
      </x:c>
      <x:c r="X6" s="13" t="str">
        <x:v>{"primary":"攻击","fallback_melee":"攻击"}</x:v>
      </x:c>
    </x:row>
    <x:row r="7" ht="31.5" customHeight="1">
      <x:c r="A7" s="16" t="str">
        <x:v>MON_N002</x:v>
      </x:c>
      <x:c r="B7" s="16" t="str">
        <x:v>退距血蛆</x:v>
      </x:c>
      <x:c r="C7" s="16" t="str">
        <x:v>普通</x:v>
      </x:c>
      <x:c r="D7" s="16" t="str">
        <x:v>追击近战</x:v>
      </x:c>
      <x:c r="E7" s="23" t="n">
        <x:v>1</x:v>
      </x:c>
      <x:c r="F7" s="23" t="n">
        <x:v>1</x:v>
      </x:c>
      <x:c r="G7" s="23" t="n">
        <x:v>30</x:v>
      </x:c>
      <x:c r="H7" s="23" t="n">
        <x:v>5</x:v>
      </x:c>
      <x:c r="I7" s="23" t="n">
        <x:v>0</x:v>
      </x:c>
      <x:c r="J7" s="23" t="n">
        <x:v>0</x:v>
      </x:c>
      <x:c r="K7" s="27" t="n">
        <x:v>1</x:v>
      </x:c>
      <x:c r="L7" s="27" t="n">
        <x:v>1.5</x:v>
      </x:c>
      <x:c r="M7" s="23" t="n">
        <x:v>0</x:v>
      </x:c>
      <x:c r="N7" s="16" t="str">
        <x:v>贴得太近时先退开，远处才向你扑咬。</x:v>
      </x:c>
      <x:c r="O7" s="16" t="str">
        <x:v>大肠</x:v>
      </x:c>
      <x:c r="P7" s="16" t="str"/>
      <x:c r="Q7" s="16" t="str">
        <x:v>血肉</x:v>
      </x:c>
      <x:c r="R7" s="16" t="str">
        <x:v>前排</x:v>
      </x:c>
      <x:c r="S7" s="16" t="str">
        <x:v>物理</x:v>
      </x:c>
      <x:c r="T7" s="16" t="str">
        <x:v>攻击</x:v>
      </x:c>
      <x:c r="U7" s="27" t="n">
        <x:v>2</x:v>
      </x:c>
      <x:c r="V7" s="27" t="n">
        <x:v>0.6</x:v>
      </x:c>
      <x:c r="W7" s="16" t="str">
        <x:v>frontline</x:v>
      </x:c>
      <x:c r="X7" s="16" t="str">
        <x:v>{"primary":"攻击","fallback_melee":"攻击"}</x:v>
      </x:c>
    </x:row>
    <x:row r="8" ht="31.5" customHeight="1">
      <x:c r="A8" s="14" t="str">
        <x:v>MON_N003</x:v>
      </x:c>
      <x:c r="B8" s="14" t="str">
        <x:v>游弧猎卒</x:v>
      </x:c>
      <x:c r="C8" s="14" t="str">
        <x:v>普通</x:v>
      </x:c>
      <x:c r="D8" s="14" t="str">
        <x:v>追击近战</x:v>
      </x:c>
      <x:c r="E8" s="24" t="n">
        <x:v>6</x:v>
      </x:c>
      <x:c r="F8" s="24" t="n">
        <x:v>2</x:v>
      </x:c>
      <x:c r="G8" s="24" t="n">
        <x:v>42</x:v>
      </x:c>
      <x:c r="H8" s="24" t="n">
        <x:v>7</x:v>
      </x:c>
      <x:c r="I8" s="24" t="n">
        <x:v>0</x:v>
      </x:c>
      <x:c r="J8" s="24" t="n">
        <x:v>0</x:v>
      </x:c>
      <x:c r="K8" s="28" t="n">
        <x:v>1</x:v>
      </x:c>
      <x:c r="L8" s="28" t="n">
        <x:v>2.5</x:v>
      </x:c>
      <x:c r="M8" s="24" t="n">
        <x:v>0</x:v>
      </x:c>
      <x:c r="N8" s="14" t="str">
        <x:v>轮流绕你的左侧和右侧抢占攻击位置。</x:v>
      </x:c>
      <x:c r="O8" s="14" t="str">
        <x:v>齐刘海</x:v>
      </x:c>
      <x:c r="P8" s="14" t="str"/>
      <x:c r="Q8" s="14" t="str">
        <x:v>幽魂</x:v>
      </x:c>
      <x:c r="R8" s="14" t="str">
        <x:v>前排</x:v>
      </x:c>
      <x:c r="S8" s="14" t="str">
        <x:v>物理</x:v>
      </x:c>
      <x:c r="T8" s="14" t="str">
        <x:v>攻击</x:v>
      </x:c>
      <x:c r="U8" s="28" t="n">
        <x:v>1.5</x:v>
      </x:c>
      <x:c r="V8" s="28" t="n">
        <x:v>0.75</x:v>
      </x:c>
      <x:c r="W8" s="14" t="str">
        <x:v>frontline</x:v>
      </x:c>
      <x:c r="X8" s="14" t="str">
        <x:v>{"primary":"攻击","fallback_melee":"攻击"}</x:v>
      </x:c>
    </x:row>
    <x:row r="9" ht="31.5" customHeight="1">
      <x:c r="A9" s="16" t="str">
        <x:v>MON_N004</x:v>
      </x:c>
      <x:c r="B9" s="16" t="str">
        <x:v>回身钳客</x:v>
      </x:c>
      <x:c r="C9" s="16" t="str">
        <x:v>普通</x:v>
      </x:c>
      <x:c r="D9" s="16" t="str">
        <x:v>追击近战</x:v>
      </x:c>
      <x:c r="E9" s="23" t="n">
        <x:v>9</x:v>
      </x:c>
      <x:c r="F9" s="23" t="n">
        <x:v>2</x:v>
      </x:c>
      <x:c r="G9" s="23" t="n">
        <x:v>55</x:v>
      </x:c>
      <x:c r="H9" s="23" t="n">
        <x:v>8</x:v>
      </x:c>
      <x:c r="I9" s="23" t="n">
        <x:v>0</x:v>
      </x:c>
      <x:c r="J9" s="23" t="n">
        <x:v>0</x:v>
      </x:c>
      <x:c r="K9" s="27" t="n">
        <x:v>1</x:v>
      </x:c>
      <x:c r="L9" s="27" t="n">
        <x:v>2.5</x:v>
      </x:c>
      <x:c r="M9" s="23" t="n">
        <x:v>0</x:v>
      </x:c>
      <x:c r="N9" s="16" t="str">
        <x:v>先咬自己身边，再移动到下一处。</x:v>
      </x:c>
      <x:c r="O9" s="16" t="str">
        <x:v>大肠团</x:v>
      </x:c>
      <x:c r="P9" s="16" t="str"/>
      <x:c r="Q9" s="16" t="str">
        <x:v>血肉</x:v>
      </x:c>
      <x:c r="R9" s="16" t="str">
        <x:v>前排</x:v>
      </x:c>
      <x:c r="S9" s="16" t="str">
        <x:v>物理</x:v>
      </x:c>
      <x:c r="T9" s="16" t="str">
        <x:v>攻击</x:v>
      </x:c>
      <x:c r="U9" s="27" t="n">
        <x:v>1</x:v>
      </x:c>
      <x:c r="V9" s="27" t="n">
        <x:v>0.75</x:v>
      </x:c>
      <x:c r="W9" s="16" t="str">
        <x:v>frontline</x:v>
      </x:c>
      <x:c r="X9" s="16" t="str">
        <x:v>{"primary":"攻击","fallback_melee":"攻击"}</x:v>
      </x:c>
    </x:row>
    <x:row r="10" ht="31.5" customHeight="1">
      <x:c r="A10" s="14" t="str">
        <x:v>MON_N005</x:v>
      </x:c>
      <x:c r="B10" s="14" t="str">
        <x:v>直冲蛮牛</x:v>
      </x:c>
      <x:c r="C10" s="14" t="str">
        <x:v>普通</x:v>
      </x:c>
      <x:c r="D10" s="14" t="str">
        <x:v>预告冲锋</x:v>
      </x:c>
      <x:c r="E10" s="24" t="n">
        <x:v>2</x:v>
      </x:c>
      <x:c r="F10" s="24" t="n">
        <x:v>2</x:v>
      </x:c>
      <x:c r="G10" s="24" t="n">
        <x:v>55</x:v>
      </x:c>
      <x:c r="H10" s="24" t="n">
        <x:v>8</x:v>
      </x:c>
      <x:c r="I10" s="24" t="n">
        <x:v>0</x:v>
      </x:c>
      <x:c r="J10" s="24" t="n">
        <x:v>0</x:v>
      </x:c>
      <x:c r="K10" s="28" t="n">
        <x:v>1</x:v>
      </x:c>
      <x:c r="L10" s="28" t="n">
        <x:v>2.5</x:v>
      </x:c>
      <x:c r="M10" s="24" t="n">
        <x:v>0</x:v>
      </x:c>
      <x:c r="N10" s="14" t="str">
        <x:v>亮出直道后冲到底，撞墙就停。</x:v>
      </x:c>
      <x:c r="O10" s="14" t="str">
        <x:v>大肠团</x:v>
      </x:c>
      <x:c r="P10" s="14" t="str"/>
      <x:c r="Q10" s="14" t="str">
        <x:v>血肉</x:v>
      </x:c>
      <x:c r="R10" s="14" t="str">
        <x:v>前排</x:v>
      </x:c>
      <x:c r="S10" s="14" t="str">
        <x:v>物理</x:v>
      </x:c>
      <x:c r="T10" s="14" t="str">
        <x:v>攻击</x:v>
      </x:c>
      <x:c r="U10" s="28" t="n">
        <x:v>2</x:v>
      </x:c>
      <x:c r="V10" s="28" t="n">
        <x:v>2</x:v>
      </x:c>
      <x:c r="W10" s="14" t="str">
        <x:v>frontline</x:v>
      </x:c>
      <x:c r="X10" s="14" t="str">
        <x:v>{"primary":"攻击","fallback_melee":"攻击"}</x:v>
      </x:c>
    </x:row>
    <x:row r="11" ht="31.5" customHeight="1">
      <x:c r="A11" s="16" t="str">
        <x:v>MON_N006</x:v>
      </x:c>
      <x:c r="B11" s="16" t="str">
        <x:v>横轨冲兽</x:v>
      </x:c>
      <x:c r="C11" s="16" t="str">
        <x:v>普通</x:v>
      </x:c>
      <x:c r="D11" s="16" t="str">
        <x:v>预告冲锋</x:v>
      </x:c>
      <x:c r="E11" s="23" t="n">
        <x:v>4</x:v>
      </x:c>
      <x:c r="F11" s="23" t="n">
        <x:v>2</x:v>
      </x:c>
      <x:c r="G11" s="23" t="n">
        <x:v>45</x:v>
      </x:c>
      <x:c r="H11" s="23" t="n">
        <x:v>9</x:v>
      </x:c>
      <x:c r="I11" s="23" t="n">
        <x:v>0</x:v>
      </x:c>
      <x:c r="J11" s="23" t="n">
        <x:v>0</x:v>
      </x:c>
      <x:c r="K11" s="27" t="n">
        <x:v>1</x:v>
      </x:c>
      <x:c r="L11" s="27" t="n">
        <x:v>2.5</x:v>
      </x:c>
      <x:c r="M11" s="23" t="n">
        <x:v>0</x:v>
      </x:c>
      <x:c r="N11" s="16" t="str">
        <x:v>只沿房间横向冲刺，不能斜追。</x:v>
      </x:c>
      <x:c r="O11" s="16" t="str">
        <x:v>结晶骑士</x:v>
      </x:c>
      <x:c r="P11" s="16" t="str"/>
      <x:c r="Q11" s="16" t="str">
        <x:v>结晶</x:v>
      </x:c>
      <x:c r="R11" s="16" t="str">
        <x:v>前排</x:v>
      </x:c>
      <x:c r="S11" s="16" t="str">
        <x:v>物理</x:v>
      </x:c>
      <x:c r="T11" s="16" t="str">
        <x:v>攻击</x:v>
      </x:c>
      <x:c r="U11" s="27" t="n">
        <x:v>2</x:v>
      </x:c>
      <x:c r="V11" s="27" t="n">
        <x:v>2</x:v>
      </x:c>
      <x:c r="W11" s="16" t="str">
        <x:v>frontline</x:v>
      </x:c>
      <x:c r="X11" s="16" t="str">
        <x:v>{"primary":"攻击","fallback_melee":"攻击"}</x:v>
      </x:c>
    </x:row>
    <x:row r="12" ht="31.5" customHeight="1">
      <x:c r="A12" s="14" t="str">
        <x:v>MON_N007</x:v>
      </x:c>
      <x:c r="B12" s="14" t="str">
        <x:v>折角奔徒</x:v>
      </x:c>
      <x:c r="C12" s="14" t="str">
        <x:v>普通</x:v>
      </x:c>
      <x:c r="D12" s="14" t="str">
        <x:v>预告冲锋</x:v>
      </x:c>
      <x:c r="E12" s="24" t="n">
        <x:v>7</x:v>
      </x:c>
      <x:c r="F12" s="24" t="n">
        <x:v>3</x:v>
      </x:c>
      <x:c r="G12" s="24" t="n">
        <x:v>50</x:v>
      </x:c>
      <x:c r="H12" s="24" t="n">
        <x:v>8</x:v>
      </x:c>
      <x:c r="I12" s="24" t="n">
        <x:v>0</x:v>
      </x:c>
      <x:c r="J12" s="24" t="n">
        <x:v>0</x:v>
      </x:c>
      <x:c r="K12" s="28" t="n">
        <x:v>1</x:v>
      </x:c>
      <x:c r="L12" s="28" t="n">
        <x:v>3.5</x:v>
      </x:c>
      <x:c r="M12" s="24" t="n">
        <x:v>0</x:v>
      </x:c>
      <x:c r="N12" s="14" t="str">
        <x:v>沿一条提前画出的L形路线冲锋。</x:v>
      </x:c>
      <x:c r="O12" s="14" t="str">
        <x:v>齐刘海</x:v>
      </x:c>
      <x:c r="P12" s="14" t="str"/>
      <x:c r="Q12" s="14" t="str">
        <x:v>幽魂</x:v>
      </x:c>
      <x:c r="R12" s="14" t="str">
        <x:v>前排</x:v>
      </x:c>
      <x:c r="S12" s="14" t="str">
        <x:v>物理</x:v>
      </x:c>
      <x:c r="T12" s="14" t="str">
        <x:v>攻击</x:v>
      </x:c>
      <x:c r="U12" s="28" t="n">
        <x:v>2</x:v>
      </x:c>
      <x:c r="V12" s="28" t="n">
        <x:v>2</x:v>
      </x:c>
      <x:c r="W12" s="14" t="str">
        <x:v>frontline</x:v>
      </x:c>
      <x:c r="X12" s="14" t="str">
        <x:v>{"primary":"攻击","fallback_melee":"攻击"}</x:v>
      </x:c>
    </x:row>
    <x:row r="13" ht="31.5" customHeight="1">
      <x:c r="A13" s="16" t="str">
        <x:v>MON_N008</x:v>
      </x:c>
      <x:c r="B13" s="16" t="str">
        <x:v>退潮冲鳌</x:v>
      </x:c>
      <x:c r="C13" s="16" t="str">
        <x:v>普通</x:v>
      </x:c>
      <x:c r="D13" s="16" t="str">
        <x:v>预告冲锋</x:v>
      </x:c>
      <x:c r="E13" s="23" t="n">
        <x:v>10</x:v>
      </x:c>
      <x:c r="F13" s="23" t="n">
        <x:v>3</x:v>
      </x:c>
      <x:c r="G13" s="23" t="n">
        <x:v>60</x:v>
      </x:c>
      <x:c r="H13" s="23" t="n">
        <x:v>8</x:v>
      </x:c>
      <x:c r="I13" s="23" t="n">
        <x:v>0</x:v>
      </x:c>
      <x:c r="J13" s="23" t="n">
        <x:v>0</x:v>
      </x:c>
      <x:c r="K13" s="27" t="n">
        <x:v>1</x:v>
      </x:c>
      <x:c r="L13" s="27" t="n">
        <x:v>3</x:v>
      </x:c>
      <x:c r="M13" s="23" t="n">
        <x:v>0</x:v>
      </x:c>
      <x:c r="N13" s="16" t="str">
        <x:v>冲锋后会沿原路无伤退回，给你第二个进攻窗口。</x:v>
      </x:c>
      <x:c r="O13" s="16" t="str">
        <x:v>眼球包</x:v>
      </x:c>
      <x:c r="P13" s="16" t="str"/>
      <x:c r="Q13" s="16" t="str">
        <x:v>血肉</x:v>
      </x:c>
      <x:c r="R13" s="16" t="str">
        <x:v>前排</x:v>
      </x:c>
      <x:c r="S13" s="16" t="str">
        <x:v>物理</x:v>
      </x:c>
      <x:c r="T13" s="16" t="str">
        <x:v>攻击</x:v>
      </x:c>
      <x:c r="U13" s="27" t="n">
        <x:v>2</x:v>
      </x:c>
      <x:c r="V13" s="27" t="n">
        <x:v>2</x:v>
      </x:c>
      <x:c r="W13" s="16" t="str">
        <x:v>frontline</x:v>
      </x:c>
      <x:c r="X13" s="16" t="str">
        <x:v>{"primary":"攻击","fallback_melee":"攻击"}</x:v>
      </x:c>
    </x:row>
    <x:row r="14" ht="31.5" customHeight="1">
      <x:c r="A14" s="14" t="str">
        <x:v>MON_N009</x:v>
      </x:c>
      <x:c r="B14" s="14" t="str">
        <x:v>定锤尸</x:v>
      </x:c>
      <x:c r="C14" s="14" t="str">
        <x:v>普通</x:v>
      </x:c>
      <x:c r="D14" s="14" t="str">
        <x:v>定域重击</x:v>
      </x:c>
      <x:c r="E14" s="24" t="n">
        <x:v>3</x:v>
      </x:c>
      <x:c r="F14" s="24" t="n">
        <x:v>3</x:v>
      </x:c>
      <x:c r="G14" s="24" t="n">
        <x:v>80</x:v>
      </x:c>
      <x:c r="H14" s="24" t="n">
        <x:v>10</x:v>
      </x:c>
      <x:c r="I14" s="24" t="n">
        <x:v>0</x:v>
      </x:c>
      <x:c r="J14" s="24" t="n">
        <x:v>0</x:v>
      </x:c>
      <x:c r="K14" s="28" t="n">
        <x:v>1.5</x:v>
      </x:c>
      <x:c r="L14" s="28" t="n">
        <x:v>3.5</x:v>
      </x:c>
      <x:c r="M14" s="24" t="n">
        <x:v>0</x:v>
      </x:c>
      <x:c r="N14" s="14" t="str">
        <x:v>抬锤后只砸自己脚边，砸完长时间露空。</x:v>
      </x:c>
      <x:c r="O14" s="14" t="str">
        <x:v>重生傀儡</x:v>
      </x:c>
      <x:c r="P14" s="14" t="str"/>
      <x:c r="Q14" s="14" t="str">
        <x:v>血肉</x:v>
      </x:c>
      <x:c r="R14" s="14" t="str">
        <x:v>前排</x:v>
      </x:c>
      <x:c r="S14" s="14" t="str">
        <x:v>物理</x:v>
      </x:c>
      <x:c r="T14" s="14" t="str">
        <x:v>攻击</x:v>
      </x:c>
      <x:c r="U14" s="28" t="n">
        <x:v>0</x:v>
      </x:c>
      <x:c r="V14" s="28" t="n">
        <x:v>1.25</x:v>
      </x:c>
      <x:c r="W14" s="14" t="str">
        <x:v>frontline / heavy</x:v>
      </x:c>
      <x:c r="X14" s="14" t="str">
        <x:v>{"primary":"攻击","fallback_melee":"攻击"}</x:v>
      </x:c>
    </x:row>
    <x:row r="15" ht="31.5" customHeight="1">
      <x:c r="A15" s="16" t="str">
        <x:v>MON_N010</x:v>
      </x:c>
      <x:c r="B15" s="16" t="str">
        <x:v>前劈石卫</x:v>
      </x:c>
      <x:c r="C15" s="16" t="str">
        <x:v>普通</x:v>
      </x:c>
      <x:c r="D15" s="16" t="str">
        <x:v>定域重击</x:v>
      </x:c>
      <x:c r="E15" s="23" t="n">
        <x:v>5</x:v>
      </x:c>
      <x:c r="F15" s="23" t="n">
        <x:v>3</x:v>
      </x:c>
      <x:c r="G15" s="23" t="n">
        <x:v>70</x:v>
      </x:c>
      <x:c r="H15" s="23" t="n">
        <x:v>11</x:v>
      </x:c>
      <x:c r="I15" s="23" t="n">
        <x:v>0</x:v>
      </x:c>
      <x:c r="J15" s="23" t="n">
        <x:v>0</x:v>
      </x:c>
      <x:c r="K15" s="27" t="n">
        <x:v>1.6</x:v>
      </x:c>
      <x:c r="L15" s="27" t="n">
        <x:v>3.5</x:v>
      </x:c>
      <x:c r="M15" s="23" t="n">
        <x:v>0</x:v>
      </x:c>
      <x:c r="N15" s="16" t="str">
        <x:v>举刃后劈出一条长而窄的前方矩形。</x:v>
      </x:c>
      <x:c r="O15" s="16" t="str">
        <x:v>结晶骑士</x:v>
      </x:c>
      <x:c r="P15" s="16" t="str"/>
      <x:c r="Q15" s="16" t="str">
        <x:v>结晶</x:v>
      </x:c>
      <x:c r="R15" s="16" t="str">
        <x:v>前排</x:v>
      </x:c>
      <x:c r="S15" s="16" t="str">
        <x:v>物理</x:v>
      </x:c>
      <x:c r="T15" s="16" t="str">
        <x:v>攻击</x:v>
      </x:c>
      <x:c r="U15" s="27" t="n">
        <x:v>0</x:v>
      </x:c>
      <x:c r="V15" s="27" t="n">
        <x:v>2</x:v>
      </x:c>
      <x:c r="W15" s="16" t="str">
        <x:v>frontline / heavy</x:v>
      </x:c>
      <x:c r="X15" s="16" t="str">
        <x:v>{"primary":"攻击","fallback_melee":"攻击"}</x:v>
      </x:c>
    </x:row>
    <x:row r="16" ht="31.5" customHeight="1">
      <x:c r="A16" s="14" t="str">
        <x:v>MON_N011</x:v>
      </x:c>
      <x:c r="B16" s="14" t="str">
        <x:v>十字碎骨者</x:v>
      </x:c>
      <x:c r="C16" s="14" t="str">
        <x:v>普通</x:v>
      </x:c>
      <x:c r="D16" s="14" t="str">
        <x:v>定域重击</x:v>
      </x:c>
      <x:c r="E16" s="24" t="n">
        <x:v>8</x:v>
      </x:c>
      <x:c r="F16" s="24" t="n">
        <x:v>3</x:v>
      </x:c>
      <x:c r="G16" s="24" t="n">
        <x:v>85</x:v>
      </x:c>
      <x:c r="H16" s="24" t="n">
        <x:v>9</x:v>
      </x:c>
      <x:c r="I16" s="24" t="n">
        <x:v>0</x:v>
      </x:c>
      <x:c r="J16" s="24" t="n">
        <x:v>0</x:v>
      </x:c>
      <x:c r="K16" s="28" t="n">
        <x:v>1.4</x:v>
      </x:c>
      <x:c r="L16" s="28" t="n">
        <x:v>4</x:v>
      </x:c>
      <x:c r="M16" s="24" t="n">
        <x:v>0</x:v>
      </x:c>
      <x:c r="N16" s="14" t="str">
        <x:v>四条短裂击组成十字，斜角空隙可停。</x:v>
      </x:c>
      <x:c r="O16" s="14" t="str">
        <x:v>重生傀儡</x:v>
      </x:c>
      <x:c r="P16" s="14" t="str"/>
      <x:c r="Q16" s="14" t="str">
        <x:v>幽魂</x:v>
      </x:c>
      <x:c r="R16" s="14" t="str">
        <x:v>控制</x:v>
      </x:c>
      <x:c r="S16" s="14" t="str">
        <x:v>物理</x:v>
      </x:c>
      <x:c r="T16" s="14" t="str">
        <x:v>攻击</x:v>
      </x:c>
      <x:c r="U16" s="28" t="n">
        <x:v>0</x:v>
      </x:c>
      <x:c r="V16" s="28" t="n">
        <x:v>1.5</x:v>
      </x:c>
      <x:c r="W16" s="14" t="str">
        <x:v>heavy / controller</x:v>
      </x:c>
      <x:c r="X16" s="14" t="str">
        <x:v>{"primary":"攻击","fallback_melee":"攻击"}</x:v>
      </x:c>
    </x:row>
    <x:row r="17" ht="31.5" customHeight="1">
      <x:c r="A17" s="16" t="str">
        <x:v>MON_N012</x:v>
      </x:c>
      <x:c r="B17" s="16" t="str">
        <x:v>双位重槌</x:v>
      </x:c>
      <x:c r="C17" s="16" t="str">
        <x:v>普通</x:v>
      </x:c>
      <x:c r="D17" s="16" t="str">
        <x:v>定域重击</x:v>
      </x:c>
      <x:c r="E17" s="23" t="n">
        <x:v>11</x:v>
      </x:c>
      <x:c r="F17" s="23" t="n">
        <x:v>3</x:v>
      </x:c>
      <x:c r="G17" s="23" t="n">
        <x:v>90</x:v>
      </x:c>
      <x:c r="H17" s="23" t="n">
        <x:v>10</x:v>
      </x:c>
      <x:c r="I17" s="23" t="n">
        <x:v>0</x:v>
      </x:c>
      <x:c r="J17" s="23" t="n">
        <x:v>0</x:v>
      </x:c>
      <x:c r="K17" s="27" t="n">
        <x:v>1.25</x:v>
      </x:c>
      <x:c r="L17" s="27" t="n">
        <x:v>4.5</x:v>
      </x:c>
      <x:c r="M17" s="23" t="n">
        <x:v>0</x:v>
      </x:c>
      <x:c r="N17" s="16" t="str">
        <x:v>先砸前点，等你再走一轮后才砸后点。</x:v>
      </x:c>
      <x:c r="O17" s="16" t="str">
        <x:v>大肠团</x:v>
      </x:c>
      <x:c r="P17" s="16" t="str"/>
      <x:c r="Q17" s="16" t="str">
        <x:v>血肉</x:v>
      </x:c>
      <x:c r="R17" s="16" t="str">
        <x:v>前排</x:v>
      </x:c>
      <x:c r="S17" s="16" t="str">
        <x:v>物理</x:v>
      </x:c>
      <x:c r="T17" s="16" t="str">
        <x:v>攻击</x:v>
      </x:c>
      <x:c r="U17" s="27" t="n">
        <x:v>0</x:v>
      </x:c>
      <x:c r="V17" s="27" t="n">
        <x:v>1.5</x:v>
      </x:c>
      <x:c r="W17" s="16" t="str">
        <x:v>frontline / heavy</x:v>
      </x:c>
      <x:c r="X17" s="16" t="str">
        <x:v>{"primary":"攻击","fallback_melee":"攻击"}</x:v>
      </x:c>
    </x:row>
    <x:row r="18" ht="42" customHeight="1">
      <x:c r="A18" s="14" t="str">
        <x:v>MON_N013</x:v>
      </x:c>
      <x:c r="B18" s="14" t="str">
        <x:v>直目枪哨</x:v>
      </x:c>
      <x:c r="C18" s="14" t="str">
        <x:v>普通</x:v>
      </x:c>
      <x:c r="D18" s="14" t="str">
        <x:v>直线射击</x:v>
      </x:c>
      <x:c r="E18" s="24" t="n">
        <x:v>2</x:v>
      </x:c>
      <x:c r="F18" s="24" t="n">
        <x:v>2</x:v>
      </x:c>
      <x:c r="G18" s="24" t="n">
        <x:v>35</x:v>
      </x:c>
      <x:c r="H18" s="24" t="n">
        <x:v>7</x:v>
      </x:c>
      <x:c r="I18" s="24" t="n">
        <x:v>0</x:v>
      </x:c>
      <x:c r="J18" s="24" t="n">
        <x:v>0</x:v>
      </x:c>
      <x:c r="K18" s="28" t="n">
        <x:v>1</x:v>
      </x:c>
      <x:c r="L18" s="28" t="n">
        <x:v>2</x:v>
      </x:c>
      <x:c r="M18" s="24" t="n">
        <x:v>0</x:v>
      </x:c>
      <x:c r="N18" s="14" t="str">
        <x:v>眯眼锁住一条细线，随后沿线发射。</x:v>
      </x:c>
      <x:c r="O18" s="14" t="str">
        <x:v>眼球</x:v>
      </x:c>
      <x:c r="P18" s="14" t="str"/>
      <x:c r="Q18" s="14" t="str">
        <x:v>血肉</x:v>
      </x:c>
      <x:c r="R18" s="14" t="str">
        <x:v>远程</x:v>
      </x:c>
      <x:c r="S18" s="14" t="str">
        <x:v>物理</x:v>
      </x:c>
      <x:c r="T18" s="14" t="str">
        <x:v>投射物</x:v>
      </x:c>
      <x:c r="U18" s="28" t="n">
        <x:v>0</x:v>
      </x:c>
      <x:c r="V18" s="28" t="n">
        <x:v>4</x:v>
      </x:c>
      <x:c r="W18" s="14" t="str">
        <x:v>ranged_damage</x:v>
      </x:c>
      <x:c r="X18" s="14" t="str">
        <x:v>{"primary":"投射物","fallback_melee":"攻击"}</x:v>
      </x:c>
    </x:row>
    <x:row r="19" ht="42" customHeight="1">
      <x:c r="A19" s="16" t="str">
        <x:v>MON_N014</x:v>
      </x:c>
      <x:c r="B19" s="16" t="str">
        <x:v>并轨针眼</x:v>
      </x:c>
      <x:c r="C19" s="16" t="str">
        <x:v>普通</x:v>
      </x:c>
      <x:c r="D19" s="16" t="str">
        <x:v>直线射击</x:v>
      </x:c>
      <x:c r="E19" s="23" t="n">
        <x:v>4</x:v>
      </x:c>
      <x:c r="F19" s="23" t="n">
        <x:v>2</x:v>
      </x:c>
      <x:c r="G19" s="23" t="n">
        <x:v>40</x:v>
      </x:c>
      <x:c r="H19" s="23" t="n">
        <x:v>7</x:v>
      </x:c>
      <x:c r="I19" s="23" t="n">
        <x:v>0</x:v>
      </x:c>
      <x:c r="J19" s="23" t="n">
        <x:v>0</x:v>
      </x:c>
      <x:c r="K19" s="27" t="n">
        <x:v>1</x:v>
      </x:c>
      <x:c r="L19" s="27" t="n">
        <x:v>2.5</x:v>
      </x:c>
      <x:c r="M19" s="23" t="n">
        <x:v>0</x:v>
      </x:c>
      <x:c r="N19" s="16" t="str">
        <x:v>两根平行针线中间留出明显空槽。</x:v>
      </x:c>
      <x:c r="O19" s="16" t="str">
        <x:v>结晶</x:v>
      </x:c>
      <x:c r="P19" s="16" t="str"/>
      <x:c r="Q19" s="16" t="str">
        <x:v>结晶</x:v>
      </x:c>
      <x:c r="R19" s="16" t="str">
        <x:v>远程</x:v>
      </x:c>
      <x:c r="S19" s="16" t="str">
        <x:v>物理</x:v>
      </x:c>
      <x:c r="T19" s="16" t="str">
        <x:v>投射物</x:v>
      </x:c>
      <x:c r="U19" s="27" t="n">
        <x:v>0</x:v>
      </x:c>
      <x:c r="V19" s="27" t="n">
        <x:v>4</x:v>
      </x:c>
      <x:c r="W19" s="16" t="str">
        <x:v>ranged_damage</x:v>
      </x:c>
      <x:c r="X19" s="16" t="str">
        <x:v>{"primary":"投射物","fallback_melee":"攻击"}</x:v>
      </x:c>
    </x:row>
    <x:row r="20" ht="42" customHeight="1">
      <x:c r="A20" s="14" t="str">
        <x:v>MON_N015</x:v>
      </x:c>
      <x:c r="B20" s="14" t="str">
        <x:v>横锁晶针</x:v>
      </x:c>
      <x:c r="C20" s="14" t="str">
        <x:v>普通</x:v>
      </x:c>
      <x:c r="D20" s="14" t="str">
        <x:v>直线射击</x:v>
      </x:c>
      <x:c r="E20" s="24" t="n">
        <x:v>7</x:v>
      </x:c>
      <x:c r="F20" s="24" t="n">
        <x:v>3</x:v>
      </x:c>
      <x:c r="G20" s="24" t="n">
        <x:v>40</x:v>
      </x:c>
      <x:c r="H20" s="24" t="n">
        <x:v>8</x:v>
      </x:c>
      <x:c r="I20" s="24" t="n">
        <x:v>0</x:v>
      </x:c>
      <x:c r="J20" s="24" t="n">
        <x:v>0</x:v>
      </x:c>
      <x:c r="K20" s="28" t="n">
        <x:v>1</x:v>
      </x:c>
      <x:c r="L20" s="28" t="n">
        <x:v>2.5</x:v>
      </x:c>
      <x:c r="M20" s="24" t="n">
        <x:v>0</x:v>
      </x:c>
      <x:c r="N20" s="14" t="str">
        <x:v>只封锁自己所在的一条水平射击通道。</x:v>
      </x:c>
      <x:c r="O20" s="14" t="str">
        <x:v>结晶簇</x:v>
      </x:c>
      <x:c r="P20" s="14" t="str"/>
      <x:c r="Q20" s="14" t="str">
        <x:v>结晶</x:v>
      </x:c>
      <x:c r="R20" s="14" t="str">
        <x:v>远程</x:v>
      </x:c>
      <x:c r="S20" s="14" t="str">
        <x:v>物理</x:v>
      </x:c>
      <x:c r="T20" s="14" t="str">
        <x:v>投射物</x:v>
      </x:c>
      <x:c r="U20" s="28" t="n">
        <x:v>0</x:v>
      </x:c>
      <x:c r="V20" s="28" t="n">
        <x:v>5</x:v>
      </x:c>
      <x:c r="W20" s="14" t="str">
        <x:v>ranged_damage</x:v>
      </x:c>
      <x:c r="X20" s="14" t="str">
        <x:v>{"primary":"投射物","fallback_melee":"攻击"}</x:v>
      </x:c>
    </x:row>
    <x:row r="21" ht="42" customHeight="1">
      <x:c r="A21" s="16" t="str">
        <x:v>MON_N016</x:v>
      </x:c>
      <x:c r="B21" s="16" t="str">
        <x:v>步停弩徒</x:v>
      </x:c>
      <x:c r="C21" s="16" t="str">
        <x:v>普通</x:v>
      </x:c>
      <x:c r="D21" s="16" t="str">
        <x:v>直线射击</x:v>
      </x:c>
      <x:c r="E21" s="23" t="n">
        <x:v>10</x:v>
      </x:c>
      <x:c r="F21" s="23" t="n">
        <x:v>3</x:v>
      </x:c>
      <x:c r="G21" s="23" t="n">
        <x:v>35</x:v>
      </x:c>
      <x:c r="H21" s="23" t="n">
        <x:v>8</x:v>
      </x:c>
      <x:c r="I21" s="23" t="n">
        <x:v>0</x:v>
      </x:c>
      <x:c r="J21" s="23" t="n">
        <x:v>0</x:v>
      </x:c>
      <x:c r="K21" s="27" t="n">
        <x:v>1</x:v>
      </x:c>
      <x:c r="L21" s="27" t="n">
        <x:v>2.5</x:v>
      </x:c>
      <x:c r="M21" s="23" t="n">
        <x:v>0</x:v>
      </x:c>
      <x:c r="N21" s="16" t="str">
        <x:v>先横挪找枪位，站稳后才重新亮射线。</x:v>
      </x:c>
      <x:c r="O21" s="16" t="str">
        <x:v>齐刘海</x:v>
      </x:c>
      <x:c r="P21" s="16" t="str"/>
      <x:c r="Q21" s="16" t="str">
        <x:v>幽魂</x:v>
      </x:c>
      <x:c r="R21" s="16" t="str">
        <x:v>远程</x:v>
      </x:c>
      <x:c r="S21" s="16" t="str">
        <x:v>物理</x:v>
      </x:c>
      <x:c r="T21" s="16" t="str">
        <x:v>投射物</x:v>
      </x:c>
      <x:c r="U21" s="27" t="n">
        <x:v>1</x:v>
      </x:c>
      <x:c r="V21" s="27" t="n">
        <x:v>4</x:v>
      </x:c>
      <x:c r="W21" s="16" t="str">
        <x:v>ranged_damage</x:v>
      </x:c>
      <x:c r="X21" s="16" t="str">
        <x:v>{"primary":"投射物","fallback_melee":"攻击"}</x:v>
      </x:c>
    </x:row>
    <x:row r="22" ht="42" customHeight="1">
      <x:c r="A22" s="14" t="str">
        <x:v>MON_N017</x:v>
      </x:c>
      <x:c r="B22" s="14" t="str">
        <x:v>正扇吐息</x:v>
      </x:c>
      <x:c r="C22" s="14" t="str">
        <x:v>普通</x:v>
      </x:c>
      <x:c r="D22" s="14" t="str">
        <x:v>扇形射击</x:v>
      </x:c>
      <x:c r="E22" s="24" t="n">
        <x:v>4</x:v>
      </x:c>
      <x:c r="F22" s="24" t="n">
        <x:v>2</x:v>
      </x:c>
      <x:c r="G22" s="24" t="n">
        <x:v>45</x:v>
      </x:c>
      <x:c r="H22" s="24" t="n">
        <x:v>7</x:v>
      </x:c>
      <x:c r="I22" s="24" t="n">
        <x:v>0</x:v>
      </x:c>
      <x:c r="J22" s="24" t="n">
        <x:v>0</x:v>
      </x:c>
      <x:c r="K22" s="28" t="n">
        <x:v>1</x:v>
      </x:c>
      <x:c r="L22" s="28" t="n">
        <x:v>2.5</x:v>
      </x:c>
      <x:c r="M22" s="24" t="n">
        <x:v>0</x:v>
      </x:c>
      <x:c r="N22" s="14" t="str">
        <x:v>正面一小扇区会被吐息扫过。</x:v>
      </x:c>
      <x:c r="O22" s="14" t="str">
        <x:v>火球精</x:v>
      </x:c>
      <x:c r="P22" s="14" t="str"/>
      <x:c r="Q22" s="14" t="str">
        <x:v>幽魂</x:v>
      </x:c>
      <x:c r="R22" s="14" t="str">
        <x:v>远程</x:v>
      </x:c>
      <x:c r="S22" s="14" t="str">
        <x:v>物理</x:v>
      </x:c>
      <x:c r="T22" s="14" t="str">
        <x:v>投射物</x:v>
      </x:c>
      <x:c r="U22" s="28" t="n">
        <x:v>0</x:v>
      </x:c>
      <x:c r="V22" s="28" t="n">
        <x:v>2.5</x:v>
      </x:c>
      <x:c r="W22" s="14" t="str">
        <x:v>ranged_damage</x:v>
      </x:c>
      <x:c r="X22" s="14" t="str">
        <x:v>{"primary":"投射物","fallback_melee":"攻击"}</x:v>
      </x:c>
    </x:row>
    <x:row r="23" ht="42" customHeight="1">
      <x:c r="A23" s="16" t="str">
        <x:v>MON_N018</x:v>
      </x:c>
      <x:c r="B23" s="16" t="str">
        <x:v>交替扫晶</x:v>
      </x:c>
      <x:c r="C23" s="16" t="str">
        <x:v>普通</x:v>
      </x:c>
      <x:c r="D23" s="16" t="str">
        <x:v>扇形射击</x:v>
      </x:c>
      <x:c r="E23" s="23" t="n">
        <x:v>6</x:v>
      </x:c>
      <x:c r="F23" s="23" t="n">
        <x:v>3</x:v>
      </x:c>
      <x:c r="G23" s="23" t="n">
        <x:v>50</x:v>
      </x:c>
      <x:c r="H23" s="23" t="n">
        <x:v>7</x:v>
      </x:c>
      <x:c r="I23" s="23" t="n">
        <x:v>0</x:v>
      </x:c>
      <x:c r="J23" s="23" t="n">
        <x:v>0</x:v>
      </x:c>
      <x:c r="K23" s="27" t="n">
        <x:v>1</x:v>
      </x:c>
      <x:c r="L23" s="27" t="n">
        <x:v>3</x:v>
      </x:c>
      <x:c r="M23" s="23" t="n">
        <x:v>0</x:v>
      </x:c>
      <x:c r="N23" s="16" t="str">
        <x:v>先扫左前方，再隔一轮扫右前方。</x:v>
      </x:c>
      <x:c r="O23" s="16" t="str">
        <x:v>结晶簇</x:v>
      </x:c>
      <x:c r="P23" s="16" t="str"/>
      <x:c r="Q23" s="16" t="str">
        <x:v>结晶</x:v>
      </x:c>
      <x:c r="R23" s="16" t="str">
        <x:v>远程</x:v>
      </x:c>
      <x:c r="S23" s="16" t="str">
        <x:v>物理</x:v>
      </x:c>
      <x:c r="T23" s="16" t="str">
        <x:v>投射物</x:v>
      </x:c>
      <x:c r="U23" s="27" t="n">
        <x:v>0</x:v>
      </x:c>
      <x:c r="V23" s="27" t="n">
        <x:v>2.5</x:v>
      </x:c>
      <x:c r="W23" s="16" t="str">
        <x:v>ranged_damage</x:v>
      </x:c>
      <x:c r="X23" s="16" t="str">
        <x:v>{"primary":"投射物","fallback_melee":"攻击"}</x:v>
      </x:c>
    </x:row>
    <x:row r="24" ht="42" customHeight="1">
      <x:c r="A24" s="14" t="str">
        <x:v>MON_N019</x:v>
      </x:c>
      <x:c r="B24" s="14" t="str">
        <x:v>背鸣脑囊</x:v>
      </x:c>
      <x:c r="C24" s="14" t="str">
        <x:v>普通</x:v>
      </x:c>
      <x:c r="D24" s="14" t="str">
        <x:v>扇形射击</x:v>
      </x:c>
      <x:c r="E24" s="24" t="n">
        <x:v>9</x:v>
      </x:c>
      <x:c r="F24" s="24" t="n">
        <x:v>3</x:v>
      </x:c>
      <x:c r="G24" s="24" t="n">
        <x:v>48</x:v>
      </x:c>
      <x:c r="H24" s="24" t="n">
        <x:v>8</x:v>
      </x:c>
      <x:c r="I24" s="24" t="n">
        <x:v>0</x:v>
      </x:c>
      <x:c r="J24" s="24" t="n">
        <x:v>0</x:v>
      </x:c>
      <x:c r="K24" s="28" t="n">
        <x:v>1</x:v>
      </x:c>
      <x:c r="L24" s="28" t="n">
        <x:v>3</x:v>
      </x:c>
      <x:c r="M24" s="24" t="n">
        <x:v>0</x:v>
      </x:c>
      <x:c r="N24" s="14" t="str">
        <x:v>面对你时，真正的吐息却从背后展开。</x:v>
      </x:c>
      <x:c r="O24" s="14" t="str">
        <x:v>章鱼脑</x:v>
      </x:c>
      <x:c r="P24" s="14" t="str"/>
      <x:c r="Q24" s="14" t="str">
        <x:v>血肉</x:v>
      </x:c>
      <x:c r="R24" s="14" t="str">
        <x:v>远程</x:v>
      </x:c>
      <x:c r="S24" s="14" t="str">
        <x:v>物理</x:v>
      </x:c>
      <x:c r="T24" s="14" t="str">
        <x:v>投射物</x:v>
      </x:c>
      <x:c r="U24" s="28" t="n">
        <x:v>0</x:v>
      </x:c>
      <x:c r="V24" s="28" t="n">
        <x:v>2.5</x:v>
      </x:c>
      <x:c r="W24" s="14" t="str">
        <x:v>ranged_damage</x:v>
      </x:c>
      <x:c r="X24" s="14" t="str">
        <x:v>{"primary":"投射物","fallback_melee":"攻击"}</x:v>
      </x:c>
    </x:row>
    <x:row r="25" ht="42" customHeight="1">
      <x:c r="A25" s="16" t="str">
        <x:v>MON_N020</x:v>
      </x:c>
      <x:c r="B25" s="16" t="str">
        <x:v>贴环扇喉</x:v>
      </x:c>
      <x:c r="C25" s="16" t="str">
        <x:v>普通</x:v>
      </x:c>
      <x:c r="D25" s="16" t="str">
        <x:v>扇形射击</x:v>
      </x:c>
      <x:c r="E25" s="23" t="n">
        <x:v>12</x:v>
      </x:c>
      <x:c r="F25" s="23" t="n">
        <x:v>3</x:v>
      </x:c>
      <x:c r="G25" s="23" t="n">
        <x:v>55</x:v>
      </x:c>
      <x:c r="H25" s="23" t="n">
        <x:v>9</x:v>
      </x:c>
      <x:c r="I25" s="23" t="n">
        <x:v>0</x:v>
      </x:c>
      <x:c r="J25" s="23" t="n">
        <x:v>0</x:v>
      </x:c>
      <x:c r="K25" s="27" t="n">
        <x:v>1</x:v>
      </x:c>
      <x:c r="L25" s="27" t="n">
        <x:v>3.5</x:v>
      </x:c>
      <x:c r="M25" s="23" t="n">
        <x:v>0</x:v>
      </x:c>
      <x:c r="N25" s="16" t="str">
        <x:v>只扫正面中距离扇带，贴身和远端都留空。</x:v>
      </x:c>
      <x:c r="O25" s="16" t="str">
        <x:v>水母脑</x:v>
      </x:c>
      <x:c r="P25" s="16" t="str"/>
      <x:c r="Q25" s="16" t="str">
        <x:v>幽魂</x:v>
      </x:c>
      <x:c r="R25" s="16" t="str">
        <x:v>远程</x:v>
      </x:c>
      <x:c r="S25" s="16" t="str">
        <x:v>物理</x:v>
      </x:c>
      <x:c r="T25" s="16" t="str">
        <x:v>投射物</x:v>
      </x:c>
      <x:c r="U25" s="27" t="n">
        <x:v>0</x:v>
      </x:c>
      <x:c r="V25" s="27" t="n">
        <x:v>3</x:v>
      </x:c>
      <x:c r="W25" s="16" t="str">
        <x:v>ranged_damage</x:v>
      </x:c>
      <x:c r="X25" s="16" t="str">
        <x:v>{"primary":"投射物","fallback_melee":"攻击"}</x:v>
      </x:c>
    </x:row>
    <x:row r="26" ht="42" customHeight="1">
      <x:c r="A26" s="14" t="str">
        <x:v>MON_N021</x:v>
      </x:c>
      <x:c r="B26" s="14" t="str">
        <x:v>定点囊炮</x:v>
      </x:c>
      <x:c r="C26" s="14" t="str">
        <x:v>普通</x:v>
      </x:c>
      <x:c r="D26" s="14" t="str">
        <x:v>定点投弹</x:v>
      </x:c>
      <x:c r="E26" s="24" t="n">
        <x:v>5</x:v>
      </x:c>
      <x:c r="F26" s="24" t="n">
        <x:v>3</x:v>
      </x:c>
      <x:c r="G26" s="24" t="n">
        <x:v>40</x:v>
      </x:c>
      <x:c r="H26" s="24" t="n">
        <x:v>10</x:v>
      </x:c>
      <x:c r="I26" s="24" t="n">
        <x:v>0</x:v>
      </x:c>
      <x:c r="J26" s="24" t="n">
        <x:v>0</x:v>
      </x:c>
      <x:c r="K26" s="28" t="n">
        <x:v>1</x:v>
      </x:c>
      <x:c r="L26" s="28" t="n">
        <x:v>3</x:v>
      </x:c>
      <x:c r="M26" s="24" t="n">
        <x:v>0</x:v>
      </x:c>
      <x:c r="N26" s="14" t="str">
        <x:v>把一团爆囊投向早已标出的地面点。</x:v>
      </x:c>
      <x:c r="O26" s="14" t="str">
        <x:v>眼球包</x:v>
      </x:c>
      <x:c r="P26" s="14" t="str"/>
      <x:c r="Q26" s="14" t="str">
        <x:v>血肉</x:v>
      </x:c>
      <x:c r="R26" s="14" t="str">
        <x:v>远程</x:v>
      </x:c>
      <x:c r="S26" s="14" t="str">
        <x:v>爆炸</x:v>
      </x:c>
      <x:c r="T26" s="14" t="str">
        <x:v>投射物</x:v>
      </x:c>
      <x:c r="U26" s="28" t="n">
        <x:v>0</x:v>
      </x:c>
      <x:c r="V26" s="28" t="n">
        <x:v>4</x:v>
      </x:c>
      <x:c r="W26" s="14" t="str">
        <x:v>ranged_damage</x:v>
      </x:c>
      <x:c r="X26" s="14" t="str">
        <x:v>{"primary":"投射物","fallback_melee":"攻击"}</x:v>
      </x:c>
    </x:row>
    <x:row r="27" ht="42" customHeight="1">
      <x:c r="A27" s="16" t="str">
        <x:v>MON_N022</x:v>
      </x:c>
      <x:c r="B27" s="16" t="str">
        <x:v>错位投囊</x:v>
      </x:c>
      <x:c r="C27" s="16" t="str">
        <x:v>普通</x:v>
      </x:c>
      <x:c r="D27" s="16" t="str">
        <x:v>定点投弹</x:v>
      </x:c>
      <x:c r="E27" s="23" t="n">
        <x:v>7</x:v>
      </x:c>
      <x:c r="F27" s="23" t="n">
        <x:v>3</x:v>
      </x:c>
      <x:c r="G27" s="23" t="n">
        <x:v>45</x:v>
      </x:c>
      <x:c r="H27" s="23" t="n">
        <x:v>9</x:v>
      </x:c>
      <x:c r="I27" s="23" t="n">
        <x:v>0</x:v>
      </x:c>
      <x:c r="J27" s="23" t="n">
        <x:v>0</x:v>
      </x:c>
      <x:c r="K27" s="27" t="n">
        <x:v>1</x:v>
      </x:c>
      <x:c r="L27" s="27" t="n">
        <x:v>3</x:v>
      </x:c>
      <x:c r="M27" s="23" t="n">
        <x:v>0</x:v>
      </x:c>
      <x:c r="N27" s="16" t="str">
        <x:v>炸点不在你原地，而在预先标出的侧边。</x:v>
      </x:c>
      <x:c r="O27" s="16" t="str">
        <x:v>大肠血卵</x:v>
      </x:c>
      <x:c r="P27" s="16" t="str"/>
      <x:c r="Q27" s="16" t="str">
        <x:v>血肉</x:v>
      </x:c>
      <x:c r="R27" s="16" t="str">
        <x:v>远程</x:v>
      </x:c>
      <x:c r="S27" s="16" t="str">
        <x:v>爆炸</x:v>
      </x:c>
      <x:c r="T27" s="16" t="str">
        <x:v>投射物</x:v>
      </x:c>
      <x:c r="U27" s="27" t="n">
        <x:v>0</x:v>
      </x:c>
      <x:c r="V27" s="27" t="n">
        <x:v>4</x:v>
      </x:c>
      <x:c r="W27" s="16" t="str">
        <x:v>ranged_damage</x:v>
      </x:c>
      <x:c r="X27" s="16" t="str">
        <x:v>{"primary":"投射物","fallback_melee":"攻击"}</x:v>
      </x:c>
    </x:row>
    <x:row r="28" ht="42" customHeight="1">
      <x:c r="A28" s="14" t="str">
        <x:v>MON_N023</x:v>
      </x:c>
      <x:c r="B28" s="14" t="str">
        <x:v>横裂投手</x:v>
      </x:c>
      <x:c r="C28" s="14" t="str">
        <x:v>普通</x:v>
      </x:c>
      <x:c r="D28" s="14" t="str">
        <x:v>定点投弹</x:v>
      </x:c>
      <x:c r="E28" s="24" t="n">
        <x:v>10</x:v>
      </x:c>
      <x:c r="F28" s="24" t="n">
        <x:v>3</x:v>
      </x:c>
      <x:c r="G28" s="24" t="n">
        <x:v>50</x:v>
      </x:c>
      <x:c r="H28" s="24" t="n">
        <x:v>9</x:v>
      </x:c>
      <x:c r="I28" s="24" t="n">
        <x:v>0</x:v>
      </x:c>
      <x:c r="J28" s="24" t="n">
        <x:v>0</x:v>
      </x:c>
      <x:c r="K28" s="28" t="n">
        <x:v>1</x:v>
      </x:c>
      <x:c r="L28" s="28" t="n">
        <x:v>3.5</x:v>
      </x:c>
      <x:c r="M28" s="24" t="n">
        <x:v>0</x:v>
      </x:c>
      <x:c r="N28" s="14" t="str">
        <x:v>爆囊落地后只炸出一条横向窄带。</x:v>
      </x:c>
      <x:c r="O28" s="14" t="str">
        <x:v>结晶簇</x:v>
      </x:c>
      <x:c r="P28" s="14" t="str"/>
      <x:c r="Q28" s="14" t="str">
        <x:v>结晶</x:v>
      </x:c>
      <x:c r="R28" s="14" t="str">
        <x:v>远程</x:v>
      </x:c>
      <x:c r="S28" s="14" t="str">
        <x:v>爆炸</x:v>
      </x:c>
      <x:c r="T28" s="14" t="str">
        <x:v>投射物</x:v>
      </x:c>
      <x:c r="U28" s="28" t="n">
        <x:v>0</x:v>
      </x:c>
      <x:c r="V28" s="28" t="n">
        <x:v>4</x:v>
      </x:c>
      <x:c r="W28" s="14" t="str">
        <x:v>ranged_damage</x:v>
      </x:c>
      <x:c r="X28" s="14" t="str">
        <x:v>{"primary":"投射物","fallback_melee":"攻击"}</x:v>
      </x:c>
    </x:row>
    <x:row r="29" ht="42" customHeight="1">
      <x:c r="A29" s="16" t="str">
        <x:v>MON_N024</x:v>
      </x:c>
      <x:c r="B29" s="16" t="str">
        <x:v>顺序掷囊者</x:v>
      </x:c>
      <x:c r="C29" s="16" t="str">
        <x:v>普通</x:v>
      </x:c>
      <x:c r="D29" s="16" t="str">
        <x:v>定点投弹</x:v>
      </x:c>
      <x:c r="E29" s="23" t="n">
        <x:v>13</x:v>
      </x:c>
      <x:c r="F29" s="23" t="n">
        <x:v>3</x:v>
      </x:c>
      <x:c r="G29" s="23" t="n">
        <x:v>60</x:v>
      </x:c>
      <x:c r="H29" s="23" t="n">
        <x:v>9</x:v>
      </x:c>
      <x:c r="I29" s="23" t="n">
        <x:v>0</x:v>
      </x:c>
      <x:c r="J29" s="23" t="n">
        <x:v>0</x:v>
      </x:c>
      <x:c r="K29" s="27" t="n">
        <x:v>1</x:v>
      </x:c>
      <x:c r="L29" s="27" t="n">
        <x:v>4</x:v>
      </x:c>
      <x:c r="M29" s="23" t="n">
        <x:v>0</x:v>
      </x:c>
      <x:c r="N29" s="16" t="str">
        <x:v>两个预先编号的炸点，隔着玩家回合先后爆开。</x:v>
      </x:c>
      <x:c r="O29" s="16" t="str">
        <x:v>章鱼脑</x:v>
      </x:c>
      <x:c r="P29" s="16" t="str"/>
      <x:c r="Q29" s="16" t="str">
        <x:v>幽魂</x:v>
      </x:c>
      <x:c r="R29" s="16" t="str">
        <x:v>远程</x:v>
      </x:c>
      <x:c r="S29" s="16" t="str">
        <x:v>爆炸</x:v>
      </x:c>
      <x:c r="T29" s="16" t="str">
        <x:v>投射物</x:v>
      </x:c>
      <x:c r="U29" s="27" t="n">
        <x:v>0</x:v>
      </x:c>
      <x:c r="V29" s="27" t="n">
        <x:v>4</x:v>
      </x:c>
      <x:c r="W29" s="16" t="str">
        <x:v>ranged_damage</x:v>
      </x:c>
      <x:c r="X29" s="16" t="str">
        <x:v>{"primary":"投射物","fallback_melee":"攻击"}</x:v>
      </x:c>
    </x:row>
    <x:row r="30" ht="31.5" customHeight="1">
      <x:c r="A30" s="14" t="str">
        <x:v>MON_N025</x:v>
      </x:c>
      <x:c r="B30" s="14" t="str">
        <x:v>内环震徒</x:v>
      </x:c>
      <x:c r="C30" s="14" t="str">
        <x:v>普通</x:v>
      </x:c>
      <x:c r="D30" s="14" t="str">
        <x:v>环形冲击</x:v>
      </x:c>
      <x:c r="E30" s="24" t="n">
        <x:v>6</x:v>
      </x:c>
      <x:c r="F30" s="24" t="n">
        <x:v>3</x:v>
      </x:c>
      <x:c r="G30" s="24" t="n">
        <x:v>50</x:v>
      </x:c>
      <x:c r="H30" s="24" t="n">
        <x:v>8</x:v>
      </x:c>
      <x:c r="I30" s="24" t="n">
        <x:v>0</x:v>
      </x:c>
      <x:c r="J30" s="24" t="n">
        <x:v>0</x:v>
      </x:c>
      <x:c r="K30" s="28" t="n">
        <x:v>1</x:v>
      </x:c>
      <x:c r="L30" s="28" t="n">
        <x:v>3</x:v>
      </x:c>
      <x:c r="M30" s="24" t="n">
        <x:v>0</x:v>
      </x:c>
      <x:c r="N30" s="14" t="str">
        <x:v>先缓慢挪位站稳，再震击脚边近圈。</x:v>
      </x:c>
      <x:c r="O30" s="14" t="str">
        <x:v>水母脑</x:v>
      </x:c>
      <x:c r="P30" s="14" t="str"/>
      <x:c r="Q30" s="14" t="str">
        <x:v>幽魂</x:v>
      </x:c>
      <x:c r="R30" s="14" t="str">
        <x:v>控制</x:v>
      </x:c>
      <x:c r="S30" s="14" t="str">
        <x:v>物理</x:v>
      </x:c>
      <x:c r="T30" s="14" t="str">
        <x:v>攻击</x:v>
      </x:c>
      <x:c r="U30" s="28" t="n">
        <x:v>0.5</x:v>
      </x:c>
      <x:c r="V30" s="28" t="n">
        <x:v>1.25</x:v>
      </x:c>
      <x:c r="W30" s="14" t="str">
        <x:v>heavy / controller</x:v>
      </x:c>
      <x:c r="X30" s="14" t="str">
        <x:v>{"primary":"攻击","fallback_melee":"攻击"}</x:v>
      </x:c>
    </x:row>
    <x:row r="31" ht="31.5" customHeight="1">
      <x:c r="A31" s="16" t="str">
        <x:v>MON_N026</x:v>
      </x:c>
      <x:c r="B31" s="16" t="str">
        <x:v>扩环火灵</x:v>
      </x:c>
      <x:c r="C31" s="16" t="str">
        <x:v>普通</x:v>
      </x:c>
      <x:c r="D31" s="16" t="str">
        <x:v>环形冲击</x:v>
      </x:c>
      <x:c r="E31" s="23" t="n">
        <x:v>8</x:v>
      </x:c>
      <x:c r="F31" s="23" t="n">
        <x:v>3</x:v>
      </x:c>
      <x:c r="G31" s="23" t="n">
        <x:v>55</x:v>
      </x:c>
      <x:c r="H31" s="23" t="n">
        <x:v>8</x:v>
      </x:c>
      <x:c r="I31" s="23" t="n">
        <x:v>0</x:v>
      </x:c>
      <x:c r="J31" s="23" t="n">
        <x:v>0</x:v>
      </x:c>
      <x:c r="K31" s="27" t="n">
        <x:v>1</x:v>
      </x:c>
      <x:c r="L31" s="27" t="n">
        <x:v>3.5</x:v>
      </x:c>
      <x:c r="M31" s="23" t="n">
        <x:v>0</x:v>
      </x:c>
      <x:c r="N31" s="16" t="str">
        <x:v>先打中环，再隔一轮把危险推向外环。</x:v>
      </x:c>
      <x:c r="O31" s="16" t="str">
        <x:v>火球精</x:v>
      </x:c>
      <x:c r="P31" s="16" t="str"/>
      <x:c r="Q31" s="16" t="str">
        <x:v>幽魂</x:v>
      </x:c>
      <x:c r="R31" s="16" t="str">
        <x:v>控制</x:v>
      </x:c>
      <x:c r="S31" s="16" t="str">
        <x:v>物理</x:v>
      </x:c>
      <x:c r="T31" s="16" t="str">
        <x:v>攻击</x:v>
      </x:c>
      <x:c r="U31" s="27" t="n">
        <x:v>0</x:v>
      </x:c>
      <x:c r="V31" s="27" t="n">
        <x:v>3</x:v>
      </x:c>
      <x:c r="W31" s="16" t="str">
        <x:v>heavy / controller</x:v>
      </x:c>
      <x:c r="X31" s="16" t="str">
        <x:v>{"primary":"攻击","fallback_melee":"攻击"}</x:v>
      </x:c>
    </x:row>
    <x:row r="32" ht="31.5" customHeight="1">
      <x:c r="A32" s="14" t="str">
        <x:v>MON_N027</x:v>
      </x:c>
      <x:c r="B32" s="14" t="str">
        <x:v>缺口轮卫</x:v>
      </x:c>
      <x:c r="C32" s="14" t="str">
        <x:v>普通</x:v>
      </x:c>
      <x:c r="D32" s="14" t="str">
        <x:v>环形冲击</x:v>
      </x:c>
      <x:c r="E32" s="24" t="n">
        <x:v>11</x:v>
      </x:c>
      <x:c r="F32" s="24" t="n">
        <x:v>3</x:v>
      </x:c>
      <x:c r="G32" s="24" t="n">
        <x:v>60</x:v>
      </x:c>
      <x:c r="H32" s="24" t="n">
        <x:v>8</x:v>
      </x:c>
      <x:c r="I32" s="24" t="n">
        <x:v>0</x:v>
      </x:c>
      <x:c r="J32" s="24" t="n">
        <x:v>0</x:v>
      </x:c>
      <x:c r="K32" s="28" t="n">
        <x:v>1</x:v>
      </x:c>
      <x:c r="L32" s="28" t="n">
        <x:v>3.5</x:v>
      </x:c>
      <x:c r="M32" s="24" t="n">
        <x:v>0</x:v>
      </x:c>
      <x:c r="N32" s="14" t="str">
        <x:v>环带上有一扇固定缺口，可以从那里贴近。</x:v>
      </x:c>
      <x:c r="O32" s="14" t="str">
        <x:v>结晶</x:v>
      </x:c>
      <x:c r="P32" s="14" t="str"/>
      <x:c r="Q32" s="14" t="str">
        <x:v>结晶</x:v>
      </x:c>
      <x:c r="R32" s="14" t="str">
        <x:v>控制</x:v>
      </x:c>
      <x:c r="S32" s="14" t="str">
        <x:v>物理</x:v>
      </x:c>
      <x:c r="T32" s="14" t="str">
        <x:v>攻击</x:v>
      </x:c>
      <x:c r="U32" s="28" t="n">
        <x:v>0</x:v>
      </x:c>
      <x:c r="V32" s="28" t="n">
        <x:v>2.5</x:v>
      </x:c>
      <x:c r="W32" s="14" t="str">
        <x:v>heavy / controller</x:v>
      </x:c>
      <x:c r="X32" s="14" t="str">
        <x:v>{"primary":"攻击","fallback_melee":"攻击"}</x:v>
      </x:c>
    </x:row>
    <x:row r="33" ht="31.5" customHeight="1">
      <x:c r="A33" s="16" t="str">
        <x:v>MON_N028</x:v>
      </x:c>
      <x:c r="B33" s="16" t="str">
        <x:v>半轮旋脑</x:v>
      </x:c>
      <x:c r="C33" s="16" t="str">
        <x:v>普通</x:v>
      </x:c>
      <x:c r="D33" s="16" t="str">
        <x:v>环形冲击</x:v>
      </x:c>
      <x:c r="E33" s="23" t="n">
        <x:v>14</x:v>
      </x:c>
      <x:c r="F33" s="23" t="n">
        <x:v>3</x:v>
      </x:c>
      <x:c r="G33" s="23" t="n">
        <x:v>58</x:v>
      </x:c>
      <x:c r="H33" s="23" t="n">
        <x:v>8</x:v>
      </x:c>
      <x:c r="I33" s="23" t="n">
        <x:v>0</x:v>
      </x:c>
      <x:c r="J33" s="23" t="n">
        <x:v>0</x:v>
      </x:c>
      <x:c r="K33" s="27" t="n">
        <x:v>1</x:v>
      </x:c>
      <x:c r="L33" s="27" t="n">
        <x:v>3.5</x:v>
      </x:c>
      <x:c r="M33" s="23" t="n">
        <x:v>0</x:v>
      </x:c>
      <x:c r="N33" s="16" t="str">
        <x:v>先扫前半环，再隔一轮扫后半环。</x:v>
      </x:c>
      <x:c r="O33" s="16" t="str">
        <x:v>章鱼脑</x:v>
      </x:c>
      <x:c r="P33" s="16" t="str"/>
      <x:c r="Q33" s="16" t="str">
        <x:v>血肉</x:v>
      </x:c>
      <x:c r="R33" s="16" t="str">
        <x:v>控制</x:v>
      </x:c>
      <x:c r="S33" s="16" t="str">
        <x:v>物理</x:v>
      </x:c>
      <x:c r="T33" s="16" t="str">
        <x:v>攻击</x:v>
      </x:c>
      <x:c r="U33" s="27" t="n">
        <x:v>0</x:v>
      </x:c>
      <x:c r="V33" s="27" t="n">
        <x:v>2.5</x:v>
      </x:c>
      <x:c r="W33" s="16" t="str">
        <x:v>heavy / controller</x:v>
      </x:c>
      <x:c r="X33" s="16" t="str">
        <x:v>{"primary":"攻击","fallback_melee":"攻击"}</x:v>
      </x:c>
    </x:row>
    <x:row r="34" ht="31.5" customHeight="1">
      <x:c r="A34" s="14" t="str">
        <x:v>MON_N029</x:v>
      </x:c>
      <x:c r="B34" s="14" t="str">
        <x:v>余痕晶刺</x:v>
      </x:c>
      <x:c r="C34" s="14" t="str">
        <x:v>普通</x:v>
      </x:c>
      <x:c r="D34" s="14" t="str">
        <x:v>地面余波</x:v>
      </x:c>
      <x:c r="E34" s="24" t="n">
        <x:v>7</x:v>
      </x:c>
      <x:c r="F34" s="24" t="n">
        <x:v>3</x:v>
      </x:c>
      <x:c r="G34" s="24" t="n">
        <x:v>45</x:v>
      </x:c>
      <x:c r="H34" s="24" t="n">
        <x:v>8</x:v>
      </x:c>
      <x:c r="I34" s="24" t="n">
        <x:v>0</x:v>
      </x:c>
      <x:c r="J34" s="24" t="n">
        <x:v>0</x:v>
      </x:c>
      <x:c r="K34" s="28" t="n">
        <x:v>1</x:v>
      </x:c>
      <x:c r="L34" s="28" t="n">
        <x:v>3</x:v>
      </x:c>
      <x:c r="M34" s="24" t="n">
        <x:v>0</x:v>
      </x:c>
      <x:c r="N34" s="14" t="str">
        <x:v>离开的位置留下亮痕，下一轮才爆一次。</x:v>
      </x:c>
      <x:c r="O34" s="14" t="str">
        <x:v>结晶</x:v>
      </x:c>
      <x:c r="P34" s="14" t="str"/>
      <x:c r="Q34" s="14" t="str">
        <x:v>结晶</x:v>
      </x:c>
      <x:c r="R34" s="14" t="str">
        <x:v>控制</x:v>
      </x:c>
      <x:c r="S34" s="14" t="str">
        <x:v>物理</x:v>
      </x:c>
      <x:c r="T34" s="14" t="str">
        <x:v>环境</x:v>
      </x:c>
      <x:c r="U34" s="28" t="n">
        <x:v>1</x:v>
      </x:c>
      <x:c r="V34" s="28" t="n">
        <x:v>2</x:v>
      </x:c>
      <x:c r="W34" s="14" t="str">
        <x:v>ranged_damage / controller</x:v>
      </x:c>
      <x:c r="X34" s="14" t="str">
        <x:v>{"primary":"环境","fallback_melee":"攻击"}</x:v>
      </x:c>
    </x:row>
    <x:row r="35" ht="31.5" customHeight="1">
      <x:c r="A35" s="16" t="str">
        <x:v>MON_N030</x:v>
      </x:c>
      <x:c r="B35" s="16" t="str">
        <x:v>行迹裂虫</x:v>
      </x:c>
      <x:c r="C35" s="16" t="str">
        <x:v>普通</x:v>
      </x:c>
      <x:c r="D35" s="16" t="str">
        <x:v>地面余波</x:v>
      </x:c>
      <x:c r="E35" s="23" t="n">
        <x:v>9</x:v>
      </x:c>
      <x:c r="F35" s="23" t="n">
        <x:v>3</x:v>
      </x:c>
      <x:c r="G35" s="23" t="n">
        <x:v>50</x:v>
      </x:c>
      <x:c r="H35" s="23" t="n">
        <x:v>8</x:v>
      </x:c>
      <x:c r="I35" s="23" t="n">
        <x:v>0</x:v>
      </x:c>
      <x:c r="J35" s="23" t="n">
        <x:v>0</x:v>
      </x:c>
      <x:c r="K35" s="27" t="n">
        <x:v>1</x:v>
      </x:c>
      <x:c r="L35" s="27" t="n">
        <x:v>3.5</x:v>
      </x:c>
      <x:c r="M35" s="23" t="n">
        <x:v>0</x:v>
      </x:c>
      <x:c r="N35" s="16" t="str">
        <x:v>沿无伤移动路线留下一条延迟爆发的细痕。</x:v>
      </x:c>
      <x:c r="O35" s="16" t="str">
        <x:v>大肠血卵</x:v>
      </x:c>
      <x:c r="P35" s="16" t="str"/>
      <x:c r="Q35" s="16" t="str">
        <x:v>血肉</x:v>
      </x:c>
      <x:c r="R35" s="16" t="str">
        <x:v>控制</x:v>
      </x:c>
      <x:c r="S35" s="16" t="str">
        <x:v>物理</x:v>
      </x:c>
      <x:c r="T35" s="16" t="str">
        <x:v>环境</x:v>
      </x:c>
      <x:c r="U35" s="27" t="n">
        <x:v>1.5</x:v>
      </x:c>
      <x:c r="V35" s="27" t="n">
        <x:v>2</x:v>
      </x:c>
      <x:c r="W35" s="16" t="str">
        <x:v>ranged_damage / controller</x:v>
      </x:c>
      <x:c r="X35" s="16" t="str">
        <x:v>{"primary":"环境","fallback_melee":"攻击"}</x:v>
      </x:c>
    </x:row>
    <x:row r="36" ht="31.5" customHeight="1">
      <x:c r="A36" s="14" t="str">
        <x:v>MON_N031</x:v>
      </x:c>
      <x:c r="B36" s="14" t="str">
        <x:v>层震囊体</x:v>
      </x:c>
      <x:c r="C36" s="14" t="str">
        <x:v>普通</x:v>
      </x:c>
      <x:c r="D36" s="14" t="str">
        <x:v>地面余波</x:v>
      </x:c>
      <x:c r="E36" s="24" t="n">
        <x:v>12</x:v>
      </x:c>
      <x:c r="F36" s="24" t="n">
        <x:v>3</x:v>
      </x:c>
      <x:c r="G36" s="24" t="n">
        <x:v>60</x:v>
      </x:c>
      <x:c r="H36" s="24" t="n">
        <x:v>8</x:v>
      </x:c>
      <x:c r="I36" s="24" t="n">
        <x:v>0</x:v>
      </x:c>
      <x:c r="J36" s="24" t="n">
        <x:v>0</x:v>
      </x:c>
      <x:c r="K36" s="28" t="n">
        <x:v>1</x:v>
      </x:c>
      <x:c r="L36" s="28" t="n">
        <x:v>4</x:v>
      </x:c>
      <x:c r="M36" s="24" t="n">
        <x:v>0</x:v>
      </x:c>
      <x:c r="N36" s="14" t="str">
        <x:v>小圆爆完后，外缘再亮一圈，留出换位时间。</x:v>
      </x:c>
      <x:c r="O36" s="14" t="str">
        <x:v>眼球包</x:v>
      </x:c>
      <x:c r="P36" s="14" t="str"/>
      <x:c r="Q36" s="14" t="str">
        <x:v>血肉</x:v>
      </x:c>
      <x:c r="R36" s="14" t="str">
        <x:v>控制</x:v>
      </x:c>
      <x:c r="S36" s="14" t="str">
        <x:v>物理</x:v>
      </x:c>
      <x:c r="T36" s="14" t="str">
        <x:v>环境</x:v>
      </x:c>
      <x:c r="U36" s="28" t="n">
        <x:v>0</x:v>
      </x:c>
      <x:c r="V36" s="28" t="n">
        <x:v>1.75</x:v>
      </x:c>
      <x:c r="W36" s="14" t="str">
        <x:v>ranged_damage / controller</x:v>
      </x:c>
      <x:c r="X36" s="14" t="str">
        <x:v>{"primary":"环境","fallback_melee":"攻击"}</x:v>
      </x:c>
    </x:row>
    <x:row r="37" ht="31.5" customHeight="1">
      <x:c r="A37" s="16" t="str">
        <x:v>MON_N032</x:v>
      </x:c>
      <x:c r="B37" s="16" t="str">
        <x:v>断纹祭壶</x:v>
      </x:c>
      <x:c r="C37" s="16" t="str">
        <x:v>普通</x:v>
      </x:c>
      <x:c r="D37" s="16" t="str">
        <x:v>地面余波</x:v>
      </x:c>
      <x:c r="E37" s="23" t="n">
        <x:v>15</x:v>
      </x:c>
      <x:c r="F37" s="23" t="n">
        <x:v>3</x:v>
      </x:c>
      <x:c r="G37" s="23" t="n">
        <x:v>60</x:v>
      </x:c>
      <x:c r="H37" s="23" t="n">
        <x:v>7</x:v>
      </x:c>
      <x:c r="I37" s="23" t="n">
        <x:v>0</x:v>
      </x:c>
      <x:c r="J37" s="23" t="n">
        <x:v>0</x:v>
      </x:c>
      <x:c r="K37" s="27" t="n">
        <x:v>1</x:v>
      </x:c>
      <x:c r="L37" s="27" t="n">
        <x:v>4</x:v>
      </x:c>
      <x:c r="M37" s="23" t="n">
        <x:v>0</x:v>
      </x:c>
      <x:c r="N37" s="16" t="str">
        <x:v>三段不相连的亮纹同时爆开，亮纹之外没有伤害。</x:v>
      </x:c>
      <x:c r="O37" s="16" t="str">
        <x:v>火球精</x:v>
      </x:c>
      <x:c r="P37" s="16" t="str"/>
      <x:c r="Q37" s="16" t="str">
        <x:v>幽魂</x:v>
      </x:c>
      <x:c r="R37" s="16" t="str">
        <x:v>控制</x:v>
      </x:c>
      <x:c r="S37" s="16" t="str">
        <x:v>物理</x:v>
      </x:c>
      <x:c r="T37" s="16" t="str">
        <x:v>环境</x:v>
      </x:c>
      <x:c r="U37" s="27" t="n">
        <x:v>0</x:v>
      </x:c>
      <x:c r="V37" s="27" t="n">
        <x:v>3</x:v>
      </x:c>
      <x:c r="W37" s="16" t="str">
        <x:v>ranged_damage / controller</x:v>
      </x:c>
      <x:c r="X37" s="16" t="str">
        <x:v>{"primary":"环境","fallback_melee":"攻击"}</x:v>
      </x:c>
    </x:row>
    <x:row r="38" ht="31.5" customHeight="1">
      <x:c r="A38" s="14" t="str">
        <x:v>MON_N033</x:v>
      </x:c>
      <x:c r="B38" s="14" t="str">
        <x:v>楔面盾卒</x:v>
      </x:c>
      <x:c r="C38" s="14" t="str">
        <x:v>普通</x:v>
      </x:c>
      <x:c r="D38" s="14" t="str">
        <x:v>正面防御</x:v>
      </x:c>
      <x:c r="E38" s="24" t="n">
        <x:v>3</x:v>
      </x:c>
      <x:c r="F38" s="24" t="n">
        <x:v>2</x:v>
      </x:c>
      <x:c r="G38" s="24" t="n">
        <x:v>65</x:v>
      </x:c>
      <x:c r="H38" s="24" t="n">
        <x:v>6</x:v>
      </x:c>
      <x:c r="I38" s="24" t="n">
        <x:v>0</x:v>
      </x:c>
      <x:c r="J38" s="24" t="n">
        <x:v>0</x:v>
      </x:c>
      <x:c r="K38" s="28" t="n">
        <x:v>1</x:v>
      </x:c>
      <x:c r="L38" s="28" t="n">
        <x:v>3</x:v>
      </x:c>
      <x:c r="M38" s="24" t="n">
        <x:v>0</x:v>
      </x:c>
      <x:c r="N38" s="14" t="str">
        <x:v>盾面方向受伤较少，侧背仍可正常撞。</x:v>
      </x:c>
      <x:c r="O38" s="14" t="str">
        <x:v>结晶骑士</x:v>
      </x:c>
      <x:c r="P38" s="14" t="str"/>
      <x:c r="Q38" s="14" t="str">
        <x:v>结晶</x:v>
      </x:c>
      <x:c r="R38" s="14" t="str">
        <x:v>前排</x:v>
      </x:c>
      <x:c r="S38" s="14" t="str">
        <x:v>物理</x:v>
      </x:c>
      <x:c r="T38" s="14" t="str">
        <x:v>攻击</x:v>
      </x:c>
      <x:c r="U38" s="28" t="n">
        <x:v>0.5</x:v>
      </x:c>
      <x:c r="V38" s="28" t="n">
        <x:v>1</x:v>
      </x:c>
      <x:c r="W38" s="14" t="str">
        <x:v>frontline</x:v>
      </x:c>
      <x:c r="X38" s="14" t="str">
        <x:v>{"primary":"攻击","fallback_melee":"攻击"}</x:v>
      </x:c>
    </x:row>
    <x:row r="39" ht="31.5" customHeight="1">
      <x:c r="A39" s="16" t="str">
        <x:v>MON_N034</x:v>
      </x:c>
      <x:c r="B39" s="16" t="str">
        <x:v>横步盾卒</x:v>
      </x:c>
      <x:c r="C39" s="16" t="str">
        <x:v>普通</x:v>
      </x:c>
      <x:c r="D39" s="16" t="str">
        <x:v>正面防御</x:v>
      </x:c>
      <x:c r="E39" s="23" t="n">
        <x:v>5</x:v>
      </x:c>
      <x:c r="F39" s="23" t="n">
        <x:v>2</x:v>
      </x:c>
      <x:c r="G39" s="23" t="n">
        <x:v>65</x:v>
      </x:c>
      <x:c r="H39" s="23" t="n">
        <x:v>7</x:v>
      </x:c>
      <x:c r="I39" s="23" t="n">
        <x:v>0</x:v>
      </x:c>
      <x:c r="J39" s="23" t="n">
        <x:v>0</x:v>
      </x:c>
      <x:c r="K39" s="27" t="n">
        <x:v>1</x:v>
      </x:c>
      <x:c r="L39" s="27" t="n">
        <x:v>3</x:v>
      </x:c>
      <x:c r="M39" s="23" t="n">
        <x:v>0</x:v>
      </x:c>
      <x:c r="N39" s="16" t="str">
        <x:v>保持盾朝向横挪一步，再从新位置出枪。</x:v>
      </x:c>
      <x:c r="O39" s="16" t="str">
        <x:v>重生傀儡</x:v>
      </x:c>
      <x:c r="P39" s="16" t="str"/>
      <x:c r="Q39" s="16" t="str">
        <x:v>幽魂</x:v>
      </x:c>
      <x:c r="R39" s="16" t="str">
        <x:v>前排</x:v>
      </x:c>
      <x:c r="S39" s="16" t="str">
        <x:v>物理</x:v>
      </x:c>
      <x:c r="T39" s="16" t="str">
        <x:v>攻击</x:v>
      </x:c>
      <x:c r="U39" s="27" t="n">
        <x:v>1</x:v>
      </x:c>
      <x:c r="V39" s="27" t="n">
        <x:v>1</x:v>
      </x:c>
      <x:c r="W39" s="16" t="str">
        <x:v>frontline</x:v>
      </x:c>
      <x:c r="X39" s="16" t="str">
        <x:v>{"primary":"攻击","fallback_melee":"攻击"}</x:v>
      </x:c>
    </x:row>
    <x:row r="40" ht="31.5" customHeight="1">
      <x:c r="A40" s="14" t="str">
        <x:v>MON_N035</x:v>
      </x:c>
      <x:c r="B40" s="14" t="str">
        <x:v>折盾突卫</x:v>
      </x:c>
      <x:c r="C40" s="14" t="str">
        <x:v>普通</x:v>
      </x:c>
      <x:c r="D40" s="14" t="str">
        <x:v>正面防御</x:v>
      </x:c>
      <x:c r="E40" s="24" t="n">
        <x:v>8</x:v>
      </x:c>
      <x:c r="F40" s="24" t="n">
        <x:v>3</x:v>
      </x:c>
      <x:c r="G40" s="24" t="n">
        <x:v>70</x:v>
      </x:c>
      <x:c r="H40" s="24" t="n">
        <x:v>7</x:v>
      </x:c>
      <x:c r="I40" s="24" t="n">
        <x:v>0</x:v>
      </x:c>
      <x:c r="J40" s="24" t="n">
        <x:v>0</x:v>
      </x:c>
      <x:c r="K40" s="28" t="n">
        <x:v>1</x:v>
      </x:c>
      <x:c r="L40" s="28" t="n">
        <x:v>3</x:v>
      </x:c>
      <x:c r="M40" s="24" t="n">
        <x:v>0</x:v>
      </x:c>
      <x:c r="N40" s="14" t="str">
        <x:v>每轮守势只能挡轻一次，撞开后盾光熄灭。</x:v>
      </x:c>
      <x:c r="O40" s="14" t="str">
        <x:v>大肠团</x:v>
      </x:c>
      <x:c r="P40" s="14" t="str"/>
      <x:c r="Q40" s="14" t="str">
        <x:v>血肉</x:v>
      </x:c>
      <x:c r="R40" s="14" t="str">
        <x:v>前排</x:v>
      </x:c>
      <x:c r="S40" s="14" t="str">
        <x:v>物理</x:v>
      </x:c>
      <x:c r="T40" s="14" t="str">
        <x:v>攻击</x:v>
      </x:c>
      <x:c r="U40" s="28" t="n">
        <x:v>1</x:v>
      </x:c>
      <x:c r="V40" s="28" t="n">
        <x:v>1</x:v>
      </x:c>
      <x:c r="W40" s="14" t="str">
        <x:v>frontline</x:v>
      </x:c>
      <x:c r="X40" s="14" t="str">
        <x:v>{"primary":"攻击","fallback_melee":"攻击"}</x:v>
      </x:c>
    </x:row>
    <x:row r="41" ht="31.5" customHeight="1">
      <x:c r="A41" s="16" t="str">
        <x:v>MON_N036</x:v>
      </x:c>
      <x:c r="B41" s="16" t="str">
        <x:v>侧盾夹卫</x:v>
      </x:c>
      <x:c r="C41" s="16" t="str">
        <x:v>普通</x:v>
      </x:c>
      <x:c r="D41" s="16" t="str">
        <x:v>正面防御</x:v>
      </x:c>
      <x:c r="E41" s="23" t="n">
        <x:v>11</x:v>
      </x:c>
      <x:c r="F41" s="23" t="n">
        <x:v>3</x:v>
      </x:c>
      <x:c r="G41" s="23" t="n">
        <x:v>60</x:v>
      </x:c>
      <x:c r="H41" s="23" t="n">
        <x:v>8</x:v>
      </x:c>
      <x:c r="I41" s="23" t="n">
        <x:v>0</x:v>
      </x:c>
      <x:c r="J41" s="23" t="n">
        <x:v>0</x:v>
      </x:c>
      <x:c r="K41" s="27" t="n">
        <x:v>1</x:v>
      </x:c>
      <x:c r="L41" s="27" t="n">
        <x:v>3.5</x:v>
      </x:c>
      <x:c r="M41" s="23" t="n">
        <x:v>0</x:v>
      </x:c>
      <x:c r="N41" s="16" t="str">
        <x:v>左右有盾，正前方却是可撞的空门。</x:v>
      </x:c>
      <x:c r="O41" s="16" t="str">
        <x:v>结晶簇</x:v>
      </x:c>
      <x:c r="P41" s="16" t="str"/>
      <x:c r="Q41" s="16" t="str">
        <x:v>结晶</x:v>
      </x:c>
      <x:c r="R41" s="16" t="str">
        <x:v>前排</x:v>
      </x:c>
      <x:c r="S41" s="16" t="str">
        <x:v>物理</x:v>
      </x:c>
      <x:c r="T41" s="16" t="str">
        <x:v>攻击</x:v>
      </x:c>
      <x:c r="U41" s="27" t="n">
        <x:v>0</x:v>
      </x:c>
      <x:c r="V41" s="27" t="n">
        <x:v>1</x:v>
      </x:c>
      <x:c r="W41" s="16" t="str">
        <x:v>frontline</x:v>
      </x:c>
      <x:c r="X41" s="16" t="str">
        <x:v>{"primary":"攻击","fallback_melee":"攻击"}</x:v>
      </x:c>
    </x:row>
    <x:row r="42" ht="31.5" customHeight="1">
      <x:c r="A42" s="14" t="str">
        <x:v>MON_N037</x:v>
      </x:c>
      <x:c r="B42" s="14" t="str">
        <x:v>开合螺卫</x:v>
      </x:c>
      <x:c r="C42" s="14" t="str">
        <x:v>普通</x:v>
      </x:c>
      <x:c r="D42" s="14" t="str">
        <x:v>开合姿态</x:v>
      </x:c>
      <x:c r="E42" s="24" t="n">
        <x:v>4</x:v>
      </x:c>
      <x:c r="F42" s="24" t="n">
        <x:v>2</x:v>
      </x:c>
      <x:c r="G42" s="24" t="n">
        <x:v>80</x:v>
      </x:c>
      <x:c r="H42" s="24" t="n">
        <x:v>8</x:v>
      </x:c>
      <x:c r="I42" s="24" t="n">
        <x:v>0</x:v>
      </x:c>
      <x:c r="J42" s="24" t="n">
        <x:v>0</x:v>
      </x:c>
      <x:c r="K42" s="28" t="n">
        <x:v>1</x:v>
      </x:c>
      <x:c r="L42" s="28" t="n">
        <x:v>3.5</x:v>
      </x:c>
      <x:c r="M42" s="24" t="n">
        <x:v>0</x:v>
      </x:c>
      <x:c r="N42" s="14" t="str">
        <x:v>合壳时正面较硬，开壳时完全撤防才发动近圈攻击。</x:v>
      </x:c>
      <x:c r="O42" s="14" t="str">
        <x:v>眼球包</x:v>
      </x:c>
      <x:c r="P42" s="14" t="str"/>
      <x:c r="Q42" s="14" t="str">
        <x:v>血肉</x:v>
      </x:c>
      <x:c r="R42" s="14" t="str">
        <x:v>前排</x:v>
      </x:c>
      <x:c r="S42" s="14" t="str">
        <x:v>物理</x:v>
      </x:c>
      <x:c r="T42" s="14" t="str">
        <x:v>攻击</x:v>
      </x:c>
      <x:c r="U42" s="28" t="n">
        <x:v>0</x:v>
      </x:c>
      <x:c r="V42" s="28" t="n">
        <x:v>1.25</x:v>
      </x:c>
      <x:c r="W42" s="14" t="str">
        <x:v>frontline</x:v>
      </x:c>
      <x:c r="X42" s="14" t="str">
        <x:v>{"primary":"攻击","fallback_melee":"攻击"}</x:v>
      </x:c>
    </x:row>
    <x:row r="43" ht="42" customHeight="1">
      <x:c r="A43" s="16" t="str">
        <x:v>MON_N038</x:v>
      </x:c>
      <x:c r="B43" s="16" t="str">
        <x:v>聚壳晶螺</x:v>
      </x:c>
      <x:c r="C43" s="16" t="str">
        <x:v>普通</x:v>
      </x:c>
      <x:c r="D43" s="16" t="str">
        <x:v>开合姿态</x:v>
      </x:c>
      <x:c r="E43" s="23" t="n">
        <x:v>6</x:v>
      </x:c>
      <x:c r="F43" s="23" t="n">
        <x:v>3</x:v>
      </x:c>
      <x:c r="G43" s="23" t="n">
        <x:v>60</x:v>
      </x:c>
      <x:c r="H43" s="23" t="n">
        <x:v>8</x:v>
      </x:c>
      <x:c r="I43" s="23" t="n">
        <x:v>0</x:v>
      </x:c>
      <x:c r="J43" s="23" t="n">
        <x:v>16</x:v>
      </x:c>
      <x:c r="K43" s="27" t="n">
        <x:v>1</x:v>
      </x:c>
      <x:c r="L43" s="27" t="n">
        <x:v>3.5</x:v>
      </x:c>
      <x:c r="M43" s="23" t="n">
        <x:v>0</x:v>
      </x:c>
      <x:c r="N43" s="16" t="str">
        <x:v>合壳只积攒有限强固，开壳才吐出一根直线晶针。</x:v>
      </x:c>
      <x:c r="O43" s="16" t="str">
        <x:v>结晶簇</x:v>
      </x:c>
      <x:c r="P43" s="16" t="str"/>
      <x:c r="Q43" s="16" t="str">
        <x:v>结晶</x:v>
      </x:c>
      <x:c r="R43" s="16" t="str">
        <x:v>远程</x:v>
      </x:c>
      <x:c r="S43" s="16" t="str">
        <x:v>物理</x:v>
      </x:c>
      <x:c r="T43" s="16" t="str">
        <x:v>投射物</x:v>
      </x:c>
      <x:c r="U43" s="27" t="n">
        <x:v>0</x:v>
      </x:c>
      <x:c r="V43" s="27" t="n">
        <x:v>3</x:v>
      </x:c>
      <x:c r="W43" s="16" t="str">
        <x:v>ranged_damage</x:v>
      </x:c>
      <x:c r="X43" s="16" t="str">
        <x:v>{"primary":"投射物","fallback_melee":"攻击"}</x:v>
      </x:c>
    </x:row>
    <x:row r="44" ht="31.5" customHeight="1">
      <x:c r="A44" s="14" t="str">
        <x:v>MON_N039</x:v>
      </x:c>
      <x:c r="B44" s="14" t="str">
        <x:v>翻腹袭者</x:v>
      </x:c>
      <x:c r="C44" s="14" t="str">
        <x:v>普通</x:v>
      </x:c>
      <x:c r="D44" s="14" t="str">
        <x:v>开合姿态</x:v>
      </x:c>
      <x:c r="E44" s="24" t="n">
        <x:v>9</x:v>
      </x:c>
      <x:c r="F44" s="24" t="n">
        <x:v>3</x:v>
      </x:c>
      <x:c r="G44" s="24" t="n">
        <x:v>52</x:v>
      </x:c>
      <x:c r="H44" s="24" t="n">
        <x:v>10</x:v>
      </x:c>
      <x:c r="I44" s="24" t="n">
        <x:v>0</x:v>
      </x:c>
      <x:c r="J44" s="24" t="n">
        <x:v>0</x:v>
      </x:c>
      <x:c r="K44" s="28" t="n">
        <x:v>1</x:v>
      </x:c>
      <x:c r="L44" s="28" t="n">
        <x:v>3</x:v>
      </x:c>
      <x:c r="M44" s="24" t="n">
        <x:v>0</x:v>
      </x:c>
      <x:c r="N44" s="14" t="str">
        <x:v>先敞腹近击，再合壳无伤后撤。</x:v>
      </x:c>
      <x:c r="O44" s="14" t="str">
        <x:v>盗宝黏菌</x:v>
      </x:c>
      <x:c r="P44" s="14" t="str"/>
      <x:c r="Q44" s="14" t="str">
        <x:v>血肉</x:v>
      </x:c>
      <x:c r="R44" s="14" t="str">
        <x:v>前排</x:v>
      </x:c>
      <x:c r="S44" s="14" t="str">
        <x:v>物理</x:v>
      </x:c>
      <x:c r="T44" s="14" t="str">
        <x:v>攻击</x:v>
      </x:c>
      <x:c r="U44" s="28" t="n">
        <x:v>1.5</x:v>
      </x:c>
      <x:c r="V44" s="28" t="n">
        <x:v>0.75</x:v>
      </x:c>
      <x:c r="W44" s="14" t="str">
        <x:v>frontline</x:v>
      </x:c>
      <x:c r="X44" s="14" t="str">
        <x:v>{"primary":"攻击","fallback_melee":"攻击"}</x:v>
      </x:c>
    </x:row>
    <x:row r="45" ht="31.5" customHeight="1">
      <x:c r="A45" s="16" t="str">
        <x:v>MON_N040</x:v>
      </x:c>
      <x:c r="B45" s="16" t="str">
        <x:v>两面蛹卫</x:v>
      </x:c>
      <x:c r="C45" s="16" t="str">
        <x:v>普通</x:v>
      </x:c>
      <x:c r="D45" s="16" t="str">
        <x:v>开合姿态</x:v>
      </x:c>
      <x:c r="E45" s="23" t="n">
        <x:v>12</x:v>
      </x:c>
      <x:c r="F45" s="23" t="n">
        <x:v>3</x:v>
      </x:c>
      <x:c r="G45" s="23" t="n">
        <x:v>75</x:v>
      </x:c>
      <x:c r="H45" s="23" t="n">
        <x:v>9</x:v>
      </x:c>
      <x:c r="I45" s="23" t="n">
        <x:v>0</x:v>
      </x:c>
      <x:c r="J45" s="23" t="n">
        <x:v>0</x:v>
      </x:c>
      <x:c r="K45" s="27" t="n">
        <x:v>1</x:v>
      </x:c>
      <x:c r="L45" s="27" t="n">
        <x:v>4</x:v>
      </x:c>
      <x:c r="M45" s="23" t="n">
        <x:v>0</x:v>
      </x:c>
      <x:c r="N45" s="16" t="str">
        <x:v>合面朝前防御，展开后反而扫击身后。</x:v>
      </x:c>
      <x:c r="O45" s="16" t="str">
        <x:v>重生傀儡</x:v>
      </x:c>
      <x:c r="P45" s="16" t="str"/>
      <x:c r="Q45" s="16" t="str">
        <x:v>幽魂</x:v>
      </x:c>
      <x:c r="R45" s="16" t="str">
        <x:v>前排</x:v>
      </x:c>
      <x:c r="S45" s="16" t="str">
        <x:v>物理</x:v>
      </x:c>
      <x:c r="T45" s="16" t="str">
        <x:v>攻击</x:v>
      </x:c>
      <x:c r="U45" s="27" t="n">
        <x:v>0</x:v>
      </x:c>
      <x:c r="V45" s="27" t="n">
        <x:v>1.5</x:v>
      </x:c>
      <x:c r="W45" s="16" t="str">
        <x:v>frontline</x:v>
      </x:c>
      <x:c r="X45" s="16" t="str">
        <x:v>{"primary":"攻击","fallback_melee":"攻击"}</x:v>
      </x:c>
    </x:row>
    <x:row r="46" ht="31.5" customHeight="1">
      <x:c r="A46" s="14" t="str">
        <x:v>MON_N041</x:v>
      </x:c>
      <x:c r="B46" s="14" t="str">
        <x:v>缝血水母</x:v>
      </x:c>
      <x:c r="C46" s="14" t="str">
        <x:v>普通</x:v>
      </x:c>
      <x:c r="D46" s="14" t="str">
        <x:v>治疗同伴</x:v>
      </x:c>
      <x:c r="E46" s="24" t="n">
        <x:v>3</x:v>
      </x:c>
      <x:c r="F46" s="24" t="n">
        <x:v>3</x:v>
      </x:c>
      <x:c r="G46" s="24" t="n">
        <x:v>42</x:v>
      </x:c>
      <x:c r="H46" s="24" t="n">
        <x:v>4</x:v>
      </x:c>
      <x:c r="I46" s="24" t="n">
        <x:v>10</x:v>
      </x:c>
      <x:c r="J46" s="24" t="n">
        <x:v>0</x:v>
      </x:c>
      <x:c r="K46" s="28" t="n">
        <x:v>0</x:v>
      </x:c>
      <x:c r="L46" s="28" t="n">
        <x:v>3</x:v>
      </x:c>
      <x:c r="M46" s="24" t="n">
        <x:v>0</x:v>
      </x:c>
      <x:c r="N46" s="14" t="str">
        <x:v>会预告给最虚弱的同伴缝合一次。</x:v>
      </x:c>
      <x:c r="O46" s="14" t="str">
        <x:v>水母脑</x:v>
      </x:c>
      <x:c r="P46" s="14" t="str"/>
      <x:c r="Q46" s="14" t="str">
        <x:v>血肉</x:v>
      </x:c>
      <x:c r="R46" s="14" t="str">
        <x:v>支援</x:v>
      </x:c>
      <x:c r="S46" s="14" t="str">
        <x:v>物理</x:v>
      </x:c>
      <x:c r="T46" s="14" t="str">
        <x:v>主动</x:v>
      </x:c>
      <x:c r="U46" s="28" t="n">
        <x:v>1</x:v>
      </x:c>
      <x:c r="V46" s="28" t="n">
        <x:v>3</x:v>
      </x:c>
      <x:c r="W46" s="14" t="str"/>
      <x:c r="X46" s="14" t="str">
        <x:v>{"primary":"主动","fallback_melee":"攻击"}</x:v>
      </x:c>
    </x:row>
    <x:row r="47" ht="31.5" customHeight="1">
      <x:c r="A47" s="16" t="str">
        <x:v>MON_N042</x:v>
      </x:c>
      <x:c r="B47" s="16" t="str">
        <x:v>环缝水母</x:v>
      </x:c>
      <x:c r="C47" s="16" t="str">
        <x:v>普通</x:v>
      </x:c>
      <x:c r="D47" s="16" t="str">
        <x:v>治疗同伴</x:v>
      </x:c>
      <x:c r="E47" s="23" t="n">
        <x:v>5</x:v>
      </x:c>
      <x:c r="F47" s="23" t="n">
        <x:v>3</x:v>
      </x:c>
      <x:c r="G47" s="23" t="n">
        <x:v>38</x:v>
      </x:c>
      <x:c r="H47" s="23" t="n">
        <x:v>3</x:v>
      </x:c>
      <x:c r="I47" s="23" t="n">
        <x:v>6</x:v>
      </x:c>
      <x:c r="J47" s="23" t="n">
        <x:v>0</x:v>
      </x:c>
      <x:c r="K47" s="27" t="n">
        <x:v>0</x:v>
      </x:c>
      <x:c r="L47" s="27" t="n">
        <x:v>3.5</x:v>
      </x:c>
      <x:c r="M47" s="23" t="n">
        <x:v>0</x:v>
      </x:c>
      <x:c r="N47" s="16" t="str">
        <x:v>固定小圆区内的同伴一起得到少量治疗。</x:v>
      </x:c>
      <x:c r="O47" s="16" t="str">
        <x:v>水母脑</x:v>
      </x:c>
      <x:c r="P47" s="16" t="str"/>
      <x:c r="Q47" s="16" t="str">
        <x:v>血肉</x:v>
      </x:c>
      <x:c r="R47" s="16" t="str">
        <x:v>支援</x:v>
      </x:c>
      <x:c r="S47" s="16" t="str">
        <x:v>物理</x:v>
      </x:c>
      <x:c r="T47" s="16" t="str">
        <x:v>主动</x:v>
      </x:c>
      <x:c r="U47" s="27" t="n">
        <x:v>0.5</x:v>
      </x:c>
      <x:c r="V47" s="27" t="n">
        <x:v>3</x:v>
      </x:c>
      <x:c r="W47" s="16" t="str"/>
      <x:c r="X47" s="16" t="str">
        <x:v>{"primary":"主动","fallback_melee":"攻击"}</x:v>
      </x:c>
    </x:row>
    <x:row r="48" ht="31.5" customHeight="1">
      <x:c r="A48" s="14" t="str">
        <x:v>MON_N043</x:v>
      </x:c>
      <x:c r="B48" s="14" t="str">
        <x:v>巡诊脑</x:v>
      </x:c>
      <x:c r="C48" s="14" t="str">
        <x:v>普通</x:v>
      </x:c>
      <x:c r="D48" s="14" t="str">
        <x:v>治疗同伴</x:v>
      </x:c>
      <x:c r="E48" s="24" t="n">
        <x:v>8</x:v>
      </x:c>
      <x:c r="F48" s="24" t="n">
        <x:v>3</x:v>
      </x:c>
      <x:c r="G48" s="24" t="n">
        <x:v>48</x:v>
      </x:c>
      <x:c r="H48" s="24" t="n">
        <x:v>4</x:v>
      </x:c>
      <x:c r="I48" s="24" t="n">
        <x:v>12</x:v>
      </x:c>
      <x:c r="J48" s="24" t="n">
        <x:v>0</x:v>
      </x:c>
      <x:c r="K48" s="28" t="n">
        <x:v>0</x:v>
      </x:c>
      <x:c r="L48" s="28" t="n">
        <x:v>3.5</x:v>
      </x:c>
      <x:c r="M48" s="24" t="n">
        <x:v>0</x:v>
      </x:c>
      <x:c r="N48" s="14" t="str">
        <x:v>必须先赶到伤者附近，才能开始近身治疗。</x:v>
      </x:c>
      <x:c r="O48" s="14" t="str">
        <x:v>章鱼脑</x:v>
      </x:c>
      <x:c r="P48" s="14" t="str"/>
      <x:c r="Q48" s="14" t="str">
        <x:v>血肉</x:v>
      </x:c>
      <x:c r="R48" s="14" t="str">
        <x:v>支援</x:v>
      </x:c>
      <x:c r="S48" s="14" t="str">
        <x:v>物理</x:v>
      </x:c>
      <x:c r="T48" s="14" t="str">
        <x:v>主动</x:v>
      </x:c>
      <x:c r="U48" s="28" t="n">
        <x:v>1.5</x:v>
      </x:c>
      <x:c r="V48" s="28" t="n">
        <x:v>1</x:v>
      </x:c>
      <x:c r="W48" s="14" t="str"/>
      <x:c r="X48" s="14" t="str">
        <x:v>{"primary":"主动","fallback_melee":"攻击"}</x:v>
      </x:c>
    </x:row>
    <x:row r="49" ht="31.5" customHeight="1">
      <x:c r="A49" s="16" t="str">
        <x:v>MON_N044</x:v>
      </x:c>
      <x:c r="B49" s="16" t="str">
        <x:v>续针脑</x:v>
      </x:c>
      <x:c r="C49" s="16" t="str">
        <x:v>普通</x:v>
      </x:c>
      <x:c r="D49" s="16" t="str">
        <x:v>治疗同伴</x:v>
      </x:c>
      <x:c r="E49" s="23" t="n">
        <x:v>11</x:v>
      </x:c>
      <x:c r="F49" s="23" t="n">
        <x:v>3</x:v>
      </x:c>
      <x:c r="G49" s="23" t="n">
        <x:v>40</x:v>
      </x:c>
      <x:c r="H49" s="23" t="n">
        <x:v>4</x:v>
      </x:c>
      <x:c r="I49" s="23" t="n">
        <x:v>5</x:v>
      </x:c>
      <x:c r="J49" s="23" t="n">
        <x:v>0</x:v>
      </x:c>
      <x:c r="K49" s="27" t="n">
        <x:v>0</x:v>
      </x:c>
      <x:c r="L49" s="27" t="n">
        <x:v>3</x:v>
      </x:c>
      <x:c r="M49" s="23" t="n">
        <x:v>0</x:v>
      </x:c>
      <x:c r="N49" s="16" t="str">
        <x:v>对同一名伤者分两轮治疗，每轮都留出打断机会。</x:v>
      </x:c>
      <x:c r="O49" s="16" t="str">
        <x:v>水母脑</x:v>
      </x:c>
      <x:c r="P49" s="16" t="str"/>
      <x:c r="Q49" s="16" t="str">
        <x:v>幽魂</x:v>
      </x:c>
      <x:c r="R49" s="16" t="str">
        <x:v>支援</x:v>
      </x:c>
      <x:c r="S49" s="16" t="str">
        <x:v>物理</x:v>
      </x:c>
      <x:c r="T49" s="16" t="str">
        <x:v>主动</x:v>
      </x:c>
      <x:c r="U49" s="27" t="n">
        <x:v>0.5</x:v>
      </x:c>
      <x:c r="V49" s="27" t="n">
        <x:v>3</x:v>
      </x:c>
      <x:c r="W49" s="16" t="str"/>
      <x:c r="X49" s="16" t="str">
        <x:v>{"primary":"主动","fallback_melee":"攻击"}</x:v>
      </x:c>
    </x:row>
    <x:row r="50" ht="31.5" customHeight="1">
      <x:c r="A50" s="14" t="str">
        <x:v>MON_N045</x:v>
      </x:c>
      <x:c r="B50" s="14" t="str">
        <x:v>授甲晶簇</x:v>
      </x:c>
      <x:c r="C50" s="14" t="str">
        <x:v>普通</x:v>
      </x:c>
      <x:c r="D50" s="14" t="str">
        <x:v>强固支援</x:v>
      </x:c>
      <x:c r="E50" s="24" t="n">
        <x:v>5</x:v>
      </x:c>
      <x:c r="F50" s="24" t="n">
        <x:v>3</x:v>
      </x:c>
      <x:c r="G50" s="24" t="n">
        <x:v>48</x:v>
      </x:c>
      <x:c r="H50" s="24" t="n">
        <x:v>4</x:v>
      </x:c>
      <x:c r="I50" s="24" t="n">
        <x:v>0</x:v>
      </x:c>
      <x:c r="J50" s="24" t="n">
        <x:v>12</x:v>
      </x:c>
      <x:c r="K50" s="28" t="n">
        <x:v>0</x:v>
      </x:c>
      <x:c r="L50" s="28" t="n">
        <x:v>3.5</x:v>
      </x:c>
      <x:c r="M50" s="24" t="n">
        <x:v>0</x:v>
      </x:c>
      <x:c r="N50" s="14" t="str">
        <x:v>给缺少强固的单个同伴一层可消耗强固。</x:v>
      </x:c>
      <x:c r="O50" s="14" t="str">
        <x:v>结晶簇</x:v>
      </x:c>
      <x:c r="P50" s="14" t="str"/>
      <x:c r="Q50" s="14" t="str">
        <x:v>结晶</x:v>
      </x:c>
      <x:c r="R50" s="14" t="str">
        <x:v>支援</x:v>
      </x:c>
      <x:c r="S50" s="14" t="str">
        <x:v>物理</x:v>
      </x:c>
      <x:c r="T50" s="14" t="str">
        <x:v>主动</x:v>
      </x:c>
      <x:c r="U50" s="28" t="n">
        <x:v>1</x:v>
      </x:c>
      <x:c r="V50" s="28" t="n">
        <x:v>3</x:v>
      </x:c>
      <x:c r="W50" s="14" t="str"/>
      <x:c r="X50" s="14" t="str">
        <x:v>{"primary":"主动","fallback_melee":"攻击"}</x:v>
      </x:c>
    </x:row>
    <x:row r="51" ht="31.5" customHeight="1">
      <x:c r="A51" s="16" t="str">
        <x:v>MON_N046</x:v>
      </x:c>
      <x:c r="B51" s="16" t="str">
        <x:v>邻甲晶簇</x:v>
      </x:c>
      <x:c r="C51" s="16" t="str">
        <x:v>普通</x:v>
      </x:c>
      <x:c r="D51" s="16" t="str">
        <x:v>强固支援</x:v>
      </x:c>
      <x:c r="E51" s="23" t="n">
        <x:v>7</x:v>
      </x:c>
      <x:c r="F51" s="23" t="n">
        <x:v>3</x:v>
      </x:c>
      <x:c r="G51" s="23" t="n">
        <x:v>44</x:v>
      </x:c>
      <x:c r="H51" s="23" t="n">
        <x:v>3</x:v>
      </x:c>
      <x:c r="I51" s="23" t="n">
        <x:v>0</x:v>
      </x:c>
      <x:c r="J51" s="23" t="n">
        <x:v>8</x:v>
      </x:c>
      <x:c r="K51" s="27" t="n">
        <x:v>0</x:v>
      </x:c>
      <x:c r="L51" s="27" t="n">
        <x:v>4</x:v>
      </x:c>
      <x:c r="M51" s="23" t="n">
        <x:v>0</x:v>
      </x:c>
      <x:c r="N51" s="16" t="str">
        <x:v>只保护预告小圈里仍未走散的同伴。</x:v>
      </x:c>
      <x:c r="O51" s="16" t="str">
        <x:v>结晶簇</x:v>
      </x:c>
      <x:c r="P51" s="16" t="str"/>
      <x:c r="Q51" s="16" t="str">
        <x:v>结晶</x:v>
      </x:c>
      <x:c r="R51" s="16" t="str">
        <x:v>支援</x:v>
      </x:c>
      <x:c r="S51" s="16" t="str">
        <x:v>物理</x:v>
      </x:c>
      <x:c r="T51" s="16" t="str">
        <x:v>主动</x:v>
      </x:c>
      <x:c r="U51" s="27" t="n">
        <x:v>0.5</x:v>
      </x:c>
      <x:c r="V51" s="27" t="n">
        <x:v>1.5</x:v>
      </x:c>
      <x:c r="W51" s="16" t="str"/>
      <x:c r="X51" s="16" t="str">
        <x:v>{"primary":"主动","fallback_melee":"攻击"}</x:v>
      </x:c>
    </x:row>
    <x:row r="52" ht="31.5" customHeight="1">
      <x:c r="A52" s="14" t="str">
        <x:v>MON_N047</x:v>
      </x:c>
      <x:c r="B52" s="14" t="str">
        <x:v>压线护送者</x:v>
      </x:c>
      <x:c r="C52" s="14" t="str">
        <x:v>普通</x:v>
      </x:c>
      <x:c r="D52" s="14" t="str">
        <x:v>强固支援</x:v>
      </x:c>
      <x:c r="E52" s="24" t="n">
        <x:v>10</x:v>
      </x:c>
      <x:c r="F52" s="24" t="n">
        <x:v>3</x:v>
      </x:c>
      <x:c r="G52" s="24" t="n">
        <x:v>62</x:v>
      </x:c>
      <x:c r="H52" s="24" t="n">
        <x:v>5</x:v>
      </x:c>
      <x:c r="I52" s="24" t="n">
        <x:v>0</x:v>
      </x:c>
      <x:c r="J52" s="24" t="n">
        <x:v>18</x:v>
      </x:c>
      <x:c r="K52" s="28" t="n">
        <x:v>0</x:v>
      </x:c>
      <x:c r="L52" s="28" t="n">
        <x:v>4</x:v>
      </x:c>
      <x:c r="M52" s="24" t="n">
        <x:v>0</x:v>
      </x:c>
      <x:c r="N52" s="14" t="str">
        <x:v>走到前排身后再近距离补强固。</x:v>
      </x:c>
      <x:c r="O52" s="14" t="str">
        <x:v>结晶骑士</x:v>
      </x:c>
      <x:c r="P52" s="14" t="str"/>
      <x:c r="Q52" s="14" t="str">
        <x:v>结晶</x:v>
      </x:c>
      <x:c r="R52" s="14" t="str">
        <x:v>支援</x:v>
      </x:c>
      <x:c r="S52" s="14" t="str">
        <x:v>物理</x:v>
      </x:c>
      <x:c r="T52" s="14" t="str">
        <x:v>主动</x:v>
      </x:c>
      <x:c r="U52" s="28" t="n">
        <x:v>1</x:v>
      </x:c>
      <x:c r="V52" s="28" t="n">
        <x:v>1</x:v>
      </x:c>
      <x:c r="W52" s="14" t="str"/>
      <x:c r="X52" s="14" t="str">
        <x:v>{"primary":"主动","fallback_melee":"攻击"}</x:v>
      </x:c>
    </x:row>
    <x:row r="53" ht="31.5" customHeight="1">
      <x:c r="A53" s="16" t="str">
        <x:v>MON_N048</x:v>
      </x:c>
      <x:c r="B53" s="16" t="str">
        <x:v>轮甲晶核</x:v>
      </x:c>
      <x:c r="C53" s="16" t="str">
        <x:v>普通</x:v>
      </x:c>
      <x:c r="D53" s="16" t="str">
        <x:v>强固支援</x:v>
      </x:c>
      <x:c r="E53" s="23" t="n">
        <x:v>13</x:v>
      </x:c>
      <x:c r="F53" s="23" t="n">
        <x:v>3</x:v>
      </x:c>
      <x:c r="G53" s="23" t="n">
        <x:v>46</x:v>
      </x:c>
      <x:c r="H53" s="23" t="n">
        <x:v>4</x:v>
      </x:c>
      <x:c r="I53" s="23" t="n">
        <x:v>0</x:v>
      </x:c>
      <x:c r="J53" s="23" t="n">
        <x:v>10</x:v>
      </x:c>
      <x:c r="K53" s="27" t="n">
        <x:v>0</x:v>
      </x:c>
      <x:c r="L53" s="27" t="n">
        <x:v>4</x:v>
      </x:c>
      <x:c r="M53" s="23" t="n">
        <x:v>0</x:v>
      </x:c>
      <x:c r="N53" s="16" t="str">
        <x:v>按公开左右次序，逐轮照顾两名不同同伴。</x:v>
      </x:c>
      <x:c r="O53" s="16" t="str">
        <x:v>结晶</x:v>
      </x:c>
      <x:c r="P53" s="16" t="str"/>
      <x:c r="Q53" s="16" t="str">
        <x:v>结晶</x:v>
      </x:c>
      <x:c r="R53" s="16" t="str">
        <x:v>支援</x:v>
      </x:c>
      <x:c r="S53" s="16" t="str">
        <x:v>物理</x:v>
      </x:c>
      <x:c r="T53" s="16" t="str">
        <x:v>主动</x:v>
      </x:c>
      <x:c r="U53" s="27" t="n">
        <x:v>0</x:v>
      </x:c>
      <x:c r="V53" s="27" t="n">
        <x:v>3</x:v>
      </x:c>
      <x:c r="W53" s="16" t="str"/>
      <x:c r="X53" s="16" t="str">
        <x:v>{"primary":"主动","fallback_melee":"攻击"}</x:v>
      </x:c>
    </x:row>
    <x:row r="54" ht="31.5" customHeight="1">
      <x:c r="A54" s="14" t="str">
        <x:v>MON_N049</x:v>
      </x:c>
      <x:c r="B54" s="14" t="str">
        <x:v>突击号角</x:v>
      </x:c>
      <x:c r="C54" s="14" t="str">
        <x:v>普通</x:v>
      </x:c>
      <x:c r="D54" s="14" t="str">
        <x:v>号令增伤</x:v>
      </x:c>
      <x:c r="E54" s="24" t="n">
        <x:v>6</x:v>
      </x:c>
      <x:c r="F54" s="24" t="n">
        <x:v>3</x:v>
      </x:c>
      <x:c r="G54" s="24" t="n">
        <x:v>42</x:v>
      </x:c>
      <x:c r="H54" s="24" t="n">
        <x:v>4</x:v>
      </x:c>
      <x:c r="I54" s="24" t="n">
        <x:v>0</x:v>
      </x:c>
      <x:c r="J54" s="24" t="n">
        <x:v>0</x:v>
      </x:c>
      <x:c r="K54" s="28" t="n">
        <x:v>0</x:v>
      </x:c>
      <x:c r="L54" s="28" t="n">
        <x:v>3.5</x:v>
      </x:c>
      <x:c r="M54" s="24" t="n">
        <x:v>0</x:v>
      </x:c>
      <x:c r="N54" s="14" t="str">
        <x:v>提前指出下一轮伤害更高的一个前排。</x:v>
      </x:c>
      <x:c r="O54" s="14" t="str">
        <x:v>章鱼脑</x:v>
      </x:c>
      <x:c r="P54" s="14" t="str"/>
      <x:c r="Q54" s="14" t="str">
        <x:v>血肉</x:v>
      </x:c>
      <x:c r="R54" s="14" t="str">
        <x:v>支援</x:v>
      </x:c>
      <x:c r="S54" s="14" t="str">
        <x:v>物理</x:v>
      </x:c>
      <x:c r="T54" s="14" t="str">
        <x:v>主动</x:v>
      </x:c>
      <x:c r="U54" s="28" t="n">
        <x:v>1</x:v>
      </x:c>
      <x:c r="V54" s="28" t="n">
        <x:v>3</x:v>
      </x:c>
      <x:c r="W54" s="14" t="str"/>
      <x:c r="X54" s="14" t="str">
        <x:v>{"primary":"主动","fallback_melee":"攻击"}</x:v>
      </x:c>
    </x:row>
    <x:row r="55" ht="31.5" customHeight="1">
      <x:c r="A55" s="16" t="str">
        <x:v>MON_N050</x:v>
      </x:c>
      <x:c r="B55" s="16" t="str">
        <x:v>齐射脑</x:v>
      </x:c>
      <x:c r="C55" s="16" t="str">
        <x:v>普通</x:v>
      </x:c>
      <x:c r="D55" s="16" t="str">
        <x:v>号令增伤</x:v>
      </x:c>
      <x:c r="E55" s="23" t="n">
        <x:v>8</x:v>
      </x:c>
      <x:c r="F55" s="23" t="n">
        <x:v>3</x:v>
      </x:c>
      <x:c r="G55" s="23" t="n">
        <x:v>38</x:v>
      </x:c>
      <x:c r="H55" s="23" t="n">
        <x:v>3</x:v>
      </x:c>
      <x:c r="I55" s="23" t="n">
        <x:v>0</x:v>
      </x:c>
      <x:c r="J55" s="23" t="n">
        <x:v>0</x:v>
      </x:c>
      <x:c r="K55" s="27" t="n">
        <x:v>0</x:v>
      </x:c>
      <x:c r="L55" s="27" t="n">
        <x:v>4</x:v>
      </x:c>
      <x:c r="M55" s="23" t="n">
        <x:v>0</x:v>
      </x:c>
      <x:c r="N55" s="16" t="str">
        <x:v>同一轮为两条已公开射线加力。</x:v>
      </x:c>
      <x:c r="O55" s="16" t="str">
        <x:v>水母脑</x:v>
      </x:c>
      <x:c r="P55" s="16" t="str"/>
      <x:c r="Q55" s="16" t="str">
        <x:v>血肉</x:v>
      </x:c>
      <x:c r="R55" s="16" t="str">
        <x:v>支援</x:v>
      </x:c>
      <x:c r="S55" s="16" t="str">
        <x:v>物理</x:v>
      </x:c>
      <x:c r="T55" s="16" t="str">
        <x:v>主动</x:v>
      </x:c>
      <x:c r="U55" s="27" t="n">
        <x:v>0.5</x:v>
      </x:c>
      <x:c r="V55" s="27" t="n">
        <x:v>4</x:v>
      </x:c>
      <x:c r="W55" s="16" t="str"/>
      <x:c r="X55" s="16" t="str">
        <x:v>{"primary":"主动","fallback_melee":"攻击"}</x:v>
      </x:c>
    </x:row>
    <x:row r="56" ht="31.5" customHeight="1">
      <x:c r="A56" s="14" t="str">
        <x:v>MON_N051</x:v>
      </x:c>
      <x:c r="B56" s="14" t="str">
        <x:v>蓄令鼓脑</x:v>
      </x:c>
      <x:c r="C56" s="14" t="str">
        <x:v>普通</x:v>
      </x:c>
      <x:c r="D56" s="14" t="str">
        <x:v>号令增伤</x:v>
      </x:c>
      <x:c r="E56" s="24" t="n">
        <x:v>11</x:v>
      </x:c>
      <x:c r="F56" s="24" t="n">
        <x:v>3</x:v>
      </x:c>
      <x:c r="G56" s="24" t="n">
        <x:v>52</x:v>
      </x:c>
      <x:c r="H56" s="24" t="n">
        <x:v>4</x:v>
      </x:c>
      <x:c r="I56" s="24" t="n">
        <x:v>0</x:v>
      </x:c>
      <x:c r="J56" s="24" t="n">
        <x:v>0</x:v>
      </x:c>
      <x:c r="K56" s="28" t="n">
        <x:v>0</x:v>
      </x:c>
      <x:c r="L56" s="28" t="n">
        <x:v>4</x:v>
      </x:c>
      <x:c r="M56" s="24" t="n">
        <x:v>0</x:v>
      </x:c>
      <x:c r="N56" s="14" t="str">
        <x:v>长时间公开蓄令后，自身与近邻各获得一次突击机会。</x:v>
      </x:c>
      <x:c r="O56" s="14" t="str">
        <x:v>章鱼脑</x:v>
      </x:c>
      <x:c r="P56" s="14" t="str"/>
      <x:c r="Q56" s="14" t="str">
        <x:v>血肉</x:v>
      </x:c>
      <x:c r="R56" s="14" t="str">
        <x:v>支援</x:v>
      </x:c>
      <x:c r="S56" s="14" t="str">
        <x:v>物理</x:v>
      </x:c>
      <x:c r="T56" s="14" t="str">
        <x:v>主动</x:v>
      </x:c>
      <x:c r="U56" s="28" t="n">
        <x:v>1</x:v>
      </x:c>
      <x:c r="V56" s="28" t="n">
        <x:v>2</x:v>
      </x:c>
      <x:c r="W56" s="14" t="str"/>
      <x:c r="X56" s="14" t="str">
        <x:v>{"primary":"主动","fallback_melee":"攻击"}</x:v>
      </x:c>
    </x:row>
    <x:row r="57" ht="31.5" customHeight="1">
      <x:c r="A57" s="16" t="str">
        <x:v>MON_N052</x:v>
      </x:c>
      <x:c r="B57" s="16" t="str">
        <x:v>断血旗手</x:v>
      </x:c>
      <x:c r="C57" s="16" t="str">
        <x:v>普通</x:v>
      </x:c>
      <x:c r="D57" s="16" t="str">
        <x:v>号令增伤</x:v>
      </x:c>
      <x:c r="E57" s="23" t="n">
        <x:v>14</x:v>
      </x:c>
      <x:c r="F57" s="23" t="n">
        <x:v>3</x:v>
      </x:c>
      <x:c r="G57" s="23" t="n">
        <x:v>44</x:v>
      </x:c>
      <x:c r="H57" s="23" t="n">
        <x:v>5</x:v>
      </x:c>
      <x:c r="I57" s="23" t="n">
        <x:v>0</x:v>
      </x:c>
      <x:c r="J57" s="23" t="n">
        <x:v>0</x:v>
      </x:c>
      <x:c r="K57" s="27" t="n">
        <x:v>1</x:v>
      </x:c>
      <x:c r="L57" s="27" t="n">
        <x:v>3.5</x:v>
      </x:c>
      <x:c r="M57" s="23" t="n">
        <x:v>0</x:v>
      </x:c>
      <x:c r="N57" s="16" t="str">
        <x:v>第一次跌到半血以下才发出一次绝境号令。</x:v>
      </x:c>
      <x:c r="O57" s="16" t="str">
        <x:v>齐刘海</x:v>
      </x:c>
      <x:c r="P57" s="16" t="str"/>
      <x:c r="Q57" s="16" t="str">
        <x:v>幽魂</x:v>
      </x:c>
      <x:c r="R57" s="16" t="str">
        <x:v>支援</x:v>
      </x:c>
      <x:c r="S57" s="16" t="str">
        <x:v>物理</x:v>
      </x:c>
      <x:c r="T57" s="16" t="str">
        <x:v>主动</x:v>
      </x:c>
      <x:c r="U57" s="27" t="n">
        <x:v>1</x:v>
      </x:c>
      <x:c r="V57" s="27" t="n">
        <x:v>3</x:v>
      </x:c>
      <x:c r="W57" s="16" t="str"/>
      <x:c r="X57" s="16" t="str">
        <x:v>{"primary":"主动","fallback_melee":"攻击"}</x:v>
      </x:c>
    </x:row>
    <x:row r="58" ht="31.5" customHeight="1">
      <x:c r="A58" s="14" t="str">
        <x:v>MON_N053</x:v>
      </x:c>
      <x:c r="B58" s="14" t="str">
        <x:v>双卵腹囊</x:v>
      </x:c>
      <x:c r="C58" s="14" t="str">
        <x:v>普通</x:v>
      </x:c>
      <x:c r="D58" s="14" t="str">
        <x:v>孵化召唤</x:v>
      </x:c>
      <x:c r="E58" s="24" t="n">
        <x:v>7</x:v>
      </x:c>
      <x:c r="F58" s="24" t="n">
        <x:v>3</x:v>
      </x:c>
      <x:c r="G58" s="24" t="n">
        <x:v>58</x:v>
      </x:c>
      <x:c r="H58" s="24" t="n">
        <x:v>4</x:v>
      </x:c>
      <x:c r="I58" s="24" t="n">
        <x:v>0</x:v>
      </x:c>
      <x:c r="J58" s="24" t="n">
        <x:v>0</x:v>
      </x:c>
      <x:c r="K58" s="28" t="n">
        <x:v>0</x:v>
      </x:c>
      <x:c r="L58" s="28" t="n">
        <x:v>4.5</x:v>
      </x:c>
      <x:c r="M58" s="24" t="n">
        <x:v>2</x:v>
      </x:c>
      <x:c r="N58" s="14" t="str">
        <x:v>在左右两个公开位置一次孵出两只幼体。</x:v>
      </x:c>
      <x:c r="O58" s="14" t="str">
        <x:v>大肠血卵</x:v>
      </x:c>
      <x:c r="P58" s="14" t="str"/>
      <x:c r="Q58" s="14" t="str">
        <x:v>血肉</x:v>
      </x:c>
      <x:c r="R58" s="14" t="str">
        <x:v>繁衍</x:v>
      </x:c>
      <x:c r="S58" s="14" t="str">
        <x:v>物理</x:v>
      </x:c>
      <x:c r="T58" s="14" t="str">
        <x:v>主动</x:v>
      </x:c>
      <x:c r="U58" s="28" t="n">
        <x:v>0.5</x:v>
      </x:c>
      <x:c r="V58" s="28" t="n">
        <x:v>1</x:v>
      </x:c>
      <x:c r="W58" s="14" t="str"/>
      <x:c r="X58" s="14" t="str">
        <x:v>{"primary":"主动","fallback_melee":"攻击"}</x:v>
      </x:c>
    </x:row>
    <x:row r="59" ht="31.5" customHeight="1">
      <x:c r="A59" s="16" t="str">
        <x:v>MON_N054</x:v>
      </x:c>
      <x:c r="B59" s="16" t="str">
        <x:v>近息卵母</x:v>
      </x:c>
      <x:c r="C59" s="16" t="str">
        <x:v>普通</x:v>
      </x:c>
      <x:c r="D59" s="16" t="str">
        <x:v>孵化召唤</x:v>
      </x:c>
      <x:c r="E59" s="23" t="n">
        <x:v>9</x:v>
      </x:c>
      <x:c r="F59" s="23" t="n">
        <x:v>3</x:v>
      </x:c>
      <x:c r="G59" s="23" t="n">
        <x:v>52</x:v>
      </x:c>
      <x:c r="H59" s="23" t="n">
        <x:v>4</x:v>
      </x:c>
      <x:c r="I59" s="23" t="n">
        <x:v>0</x:v>
      </x:c>
      <x:c r="J59" s="23" t="n">
        <x:v>0</x:v>
      </x:c>
      <x:c r="K59" s="27" t="n">
        <x:v>0</x:v>
      </x:c>
      <x:c r="L59" s="27" t="n">
        <x:v>4.5</x:v>
      </x:c>
      <x:c r="M59" s="23" t="n">
        <x:v>2</x:v>
      </x:c>
      <x:c r="N59" s="16" t="str">
        <x:v>英雄进入公开的近身圈才启动一次孵化。</x:v>
      </x:c>
      <x:c r="O59" s="16" t="str">
        <x:v>大肠团</x:v>
      </x:c>
      <x:c r="P59" s="16" t="str"/>
      <x:c r="Q59" s="16" t="str">
        <x:v>血肉</x:v>
      </x:c>
      <x:c r="R59" s="16" t="str">
        <x:v>繁衍</x:v>
      </x:c>
      <x:c r="S59" s="16" t="str">
        <x:v>物理</x:v>
      </x:c>
      <x:c r="T59" s="16" t="str">
        <x:v>主动</x:v>
      </x:c>
      <x:c r="U59" s="27" t="n">
        <x:v>0.5</x:v>
      </x:c>
      <x:c r="V59" s="27" t="n">
        <x:v>2</x:v>
      </x:c>
      <x:c r="W59" s="16" t="str"/>
      <x:c r="X59" s="16" t="str">
        <x:v>{"primary":"主动","fallback_melee":"攻击"}</x:v>
      </x:c>
    </x:row>
    <x:row r="60" ht="31.5" customHeight="1">
      <x:c r="A60" s="14" t="str">
        <x:v>MON_N055</x:v>
      </x:c>
      <x:c r="B60" s="14" t="str">
        <x:v>伤醒卵囊</x:v>
      </x:c>
      <x:c r="C60" s="14" t="str">
        <x:v>普通</x:v>
      </x:c>
      <x:c r="D60" s="14" t="str">
        <x:v>孵化召唤</x:v>
      </x:c>
      <x:c r="E60" s="24" t="n">
        <x:v>12</x:v>
      </x:c>
      <x:c r="F60" s="24" t="n">
        <x:v>3</x:v>
      </x:c>
      <x:c r="G60" s="24" t="n">
        <x:v>64</x:v>
      </x:c>
      <x:c r="H60" s="24" t="n">
        <x:v>5</x:v>
      </x:c>
      <x:c r="I60" s="24" t="n">
        <x:v>0</x:v>
      </x:c>
      <x:c r="J60" s="24" t="n">
        <x:v>0</x:v>
      </x:c>
      <x:c r="K60" s="28" t="n">
        <x:v>1</x:v>
      </x:c>
      <x:c r="L60" s="28" t="n">
        <x:v>5</x:v>
      </x:c>
      <x:c r="M60" s="24" t="n">
        <x:v>2</x:v>
      </x:c>
      <x:c r="N60" s="14" t="str">
        <x:v>第一次跌到半血以下会公开孵化两只幼体。</x:v>
      </x:c>
      <x:c r="O60" s="14" t="str">
        <x:v>大肠血卵</x:v>
      </x:c>
      <x:c r="P60" s="14" t="str"/>
      <x:c r="Q60" s="14" t="str">
        <x:v>血肉</x:v>
      </x:c>
      <x:c r="R60" s="14" t="str">
        <x:v>繁衍</x:v>
      </x:c>
      <x:c r="S60" s="14" t="str">
        <x:v>物理</x:v>
      </x:c>
      <x:c r="T60" s="14" t="str">
        <x:v>主动</x:v>
      </x:c>
      <x:c r="U60" s="28" t="n">
        <x:v>1</x:v>
      </x:c>
      <x:c r="V60" s="28" t="n">
        <x:v>1</x:v>
      </x:c>
      <x:c r="W60" s="14" t="str"/>
      <x:c r="X60" s="14" t="str">
        <x:v>{"primary":"主动","fallback_melee":"攻击"}</x:v>
      </x:c>
    </x:row>
    <x:row r="61" ht="31.5" customHeight="1">
      <x:c r="A61" s="16" t="str">
        <x:v>MON_N056</x:v>
      </x:c>
      <x:c r="B61" s="16" t="str">
        <x:v>迁巢母体</x:v>
      </x:c>
      <x:c r="C61" s="16" t="str">
        <x:v>普通</x:v>
      </x:c>
      <x:c r="D61" s="16" t="str">
        <x:v>孵化召唤</x:v>
      </x:c>
      <x:c r="E61" s="23" t="n">
        <x:v>15</x:v>
      </x:c>
      <x:c r="F61" s="23" t="n">
        <x:v>3</x:v>
      </x:c>
      <x:c r="G61" s="23" t="n">
        <x:v>56</x:v>
      </x:c>
      <x:c r="H61" s="23" t="n">
        <x:v>4</x:v>
      </x:c>
      <x:c r="I61" s="23" t="n">
        <x:v>0</x:v>
      </x:c>
      <x:c r="J61" s="23" t="n">
        <x:v>0</x:v>
      </x:c>
      <x:c r="K61" s="27" t="n">
        <x:v>0</x:v>
      </x:c>
      <x:c r="L61" s="27" t="n">
        <x:v>5</x:v>
      </x:c>
      <x:c r="M61" s="23" t="n">
        <x:v>2</x:v>
      </x:c>
      <x:c r="N61" s="16" t="str">
        <x:v>走到两个预先公布的巢位，逐处产下一只幼体。</x:v>
      </x:c>
      <x:c r="O61" s="16" t="str">
        <x:v>章鱼脑</x:v>
      </x:c>
      <x:c r="P61" s="16" t="str"/>
      <x:c r="Q61" s="16" t="str">
        <x:v>血肉</x:v>
      </x:c>
      <x:c r="R61" s="16" t="str">
        <x:v>繁衍</x:v>
      </x:c>
      <x:c r="S61" s="16" t="str">
        <x:v>物理</x:v>
      </x:c>
      <x:c r="T61" s="16" t="str">
        <x:v>主动</x:v>
      </x:c>
      <x:c r="U61" s="27" t="n">
        <x:v>1</x:v>
      </x:c>
      <x:c r="V61" s="27" t="n">
        <x:v>3</x:v>
      </x:c>
      <x:c r="W61" s="16" t="str"/>
      <x:c r="X61" s="16" t="str">
        <x:v>{"primary":"主动","fallback_melee":"攻击"}</x:v>
      </x:c>
    </x:row>
    <x:row r="62" ht="31.5" customHeight="1">
      <x:c r="A62" s="14" t="str">
        <x:v>MON_N057</x:v>
      </x:c>
      <x:c r="B62" s="14" t="str">
        <x:v>横裂血球</x:v>
      </x:c>
      <x:c r="C62" s="14" t="str">
        <x:v>普通</x:v>
      </x:c>
      <x:c r="D62" s="14" t="str">
        <x:v>一代分裂</x:v>
      </x:c>
      <x:c r="E62" s="24" t="n">
        <x:v>8</x:v>
      </x:c>
      <x:c r="F62" s="24" t="n">
        <x:v>3</x:v>
      </x:c>
      <x:c r="G62" s="24" t="n">
        <x:v>48</x:v>
      </x:c>
      <x:c r="H62" s="24" t="n">
        <x:v>6</x:v>
      </x:c>
      <x:c r="I62" s="24" t="n">
        <x:v>0</x:v>
      </x:c>
      <x:c r="J62" s="24" t="n">
        <x:v>0</x:v>
      </x:c>
      <x:c r="K62" s="28" t="n">
        <x:v>1</x:v>
      </x:c>
      <x:c r="L62" s="28" t="n">
        <x:v>4</x:v>
      </x:c>
      <x:c r="M62" s="24" t="n">
        <x:v>2</x:v>
      </x:c>
      <x:c r="N62" s="14" t="str">
        <x:v>打碎后左右两点会各冒出一只小体。</x:v>
      </x:c>
      <x:c r="O62" s="14" t="str">
        <x:v>眼球包</x:v>
      </x:c>
      <x:c r="P62" s="14" t="str"/>
      <x:c r="Q62" s="14" t="str">
        <x:v>血肉</x:v>
      </x:c>
      <x:c r="R62" s="14" t="str">
        <x:v>繁衍</x:v>
      </x:c>
      <x:c r="S62" s="14" t="str">
        <x:v>物理</x:v>
      </x:c>
      <x:c r="T62" s="14" t="str">
        <x:v>攻击</x:v>
      </x:c>
      <x:c r="U62" s="28" t="n">
        <x:v>1</x:v>
      </x:c>
      <x:c r="V62" s="28" t="n">
        <x:v>1</x:v>
      </x:c>
      <x:c r="W62" s="14" t="str">
        <x:v>frontline</x:v>
      </x:c>
      <x:c r="X62" s="14" t="str">
        <x:v>{"primary":"攻击","fallback_melee":"攻击"}</x:v>
      </x:c>
    </x:row>
    <x:row r="63" ht="31.5" customHeight="1">
      <x:c r="A63" s="16" t="str">
        <x:v>MON_N058</x:v>
      </x:c>
      <x:c r="B63" s="16" t="str">
        <x:v>独核裂囊</x:v>
      </x:c>
      <x:c r="C63" s="16" t="str">
        <x:v>普通</x:v>
      </x:c>
      <x:c r="D63" s="16" t="str">
        <x:v>一代分裂</x:v>
      </x:c>
      <x:c r="E63" s="23" t="n">
        <x:v>10</x:v>
      </x:c>
      <x:c r="F63" s="23" t="n">
        <x:v>3</x:v>
      </x:c>
      <x:c r="G63" s="23" t="n">
        <x:v>42</x:v>
      </x:c>
      <x:c r="H63" s="23" t="n">
        <x:v>7</x:v>
      </x:c>
      <x:c r="I63" s="23" t="n">
        <x:v>0</x:v>
      </x:c>
      <x:c r="J63" s="23" t="n">
        <x:v>0</x:v>
      </x:c>
      <x:c r="K63" s="27" t="n">
        <x:v>1</x:v>
      </x:c>
      <x:c r="L63" s="27" t="n">
        <x:v>3.5</x:v>
      </x:c>
      <x:c r="M63" s="23" t="n">
        <x:v>2</x:v>
      </x:c>
      <x:c r="N63" s="16" t="str">
        <x:v>外壳破裂后只留下一个较完整的小体。</x:v>
      </x:c>
      <x:c r="O63" s="16" t="str">
        <x:v>大肠团</x:v>
      </x:c>
      <x:c r="P63" s="16" t="str"/>
      <x:c r="Q63" s="16" t="str">
        <x:v>血肉</x:v>
      </x:c>
      <x:c r="R63" s="16" t="str">
        <x:v>繁衍</x:v>
      </x:c>
      <x:c r="S63" s="16" t="str">
        <x:v>物理</x:v>
      </x:c>
      <x:c r="T63" s="16" t="str">
        <x:v>攻击</x:v>
      </x:c>
      <x:c r="U63" s="27" t="n">
        <x:v>1.5</x:v>
      </x:c>
      <x:c r="V63" s="27" t="n">
        <x:v>1</x:v>
      </x:c>
      <x:c r="W63" s="16" t="str">
        <x:v>frontline</x:v>
      </x:c>
      <x:c r="X63" s="16" t="str">
        <x:v>{"primary":"攻击","fallback_melee":"攻击"}</x:v>
      </x:c>
    </x:row>
    <x:row r="64" ht="31.5" customHeight="1">
      <x:c r="A64" s="14" t="str">
        <x:v>MON_N059</x:v>
      </x:c>
      <x:c r="B64" s="14" t="str">
        <x:v>纵裂血茧</x:v>
      </x:c>
      <x:c r="C64" s="14" t="str">
        <x:v>普通</x:v>
      </x:c>
      <x:c r="D64" s="14" t="str">
        <x:v>一代分裂</x:v>
      </x:c>
      <x:c r="E64" s="24" t="n">
        <x:v>13</x:v>
      </x:c>
      <x:c r="F64" s="24" t="n">
        <x:v>3</x:v>
      </x:c>
      <x:c r="G64" s="24" t="n">
        <x:v>50</x:v>
      </x:c>
      <x:c r="H64" s="24" t="n">
        <x:v>6</x:v>
      </x:c>
      <x:c r="I64" s="24" t="n">
        <x:v>0</x:v>
      </x:c>
      <x:c r="J64" s="24" t="n">
        <x:v>0</x:v>
      </x:c>
      <x:c r="K64" s="28" t="n">
        <x:v>1</x:v>
      </x:c>
      <x:c r="L64" s="28" t="n">
        <x:v>4.5</x:v>
      </x:c>
      <x:c r="M64" s="24" t="n">
        <x:v>2</x:v>
      </x:c>
      <x:c r="N64" s="14" t="str">
        <x:v>死亡时沿最后朝向在前后两点分开。</x:v>
      </x:c>
      <x:c r="O64" s="14" t="str">
        <x:v>大肠血卵</x:v>
      </x:c>
      <x:c r="P64" s="14" t="str"/>
      <x:c r="Q64" s="14" t="str">
        <x:v>血肉</x:v>
      </x:c>
      <x:c r="R64" s="14" t="str">
        <x:v>繁衍</x:v>
      </x:c>
      <x:c r="S64" s="14" t="str">
        <x:v>物理</x:v>
      </x:c>
      <x:c r="T64" s="14" t="str">
        <x:v>攻击</x:v>
      </x:c>
      <x:c r="U64" s="28" t="n">
        <x:v>0.5</x:v>
      </x:c>
      <x:c r="V64" s="28" t="n">
        <x:v>1</x:v>
      </x:c>
      <x:c r="W64" s="14" t="str">
        <x:v>frontline</x:v>
      </x:c>
      <x:c r="X64" s="14" t="str">
        <x:v>{"primary":"攻击","fallback_melee":"攻击"}</x:v>
      </x:c>
    </x:row>
    <x:row r="65" ht="31.5" customHeight="1">
      <x:c r="A65" s="16" t="str">
        <x:v>MON_N060</x:v>
      </x:c>
      <x:c r="B65" s="16" t="str">
        <x:v>续裂眼囊</x:v>
      </x:c>
      <x:c r="C65" s="16" t="str">
        <x:v>普通</x:v>
      </x:c>
      <x:c r="D65" s="16" t="str">
        <x:v>一代分裂</x:v>
      </x:c>
      <x:c r="E65" s="23" t="n">
        <x:v>16</x:v>
      </x:c>
      <x:c r="F65" s="23" t="n">
        <x:v>3</x:v>
      </x:c>
      <x:c r="G65" s="23" t="n">
        <x:v>46</x:v>
      </x:c>
      <x:c r="H65" s="23" t="n">
        <x:v>6</x:v>
      </x:c>
      <x:c r="I65" s="23" t="n">
        <x:v>0</x:v>
      </x:c>
      <x:c r="J65" s="23" t="n">
        <x:v>0</x:v>
      </x:c>
      <x:c r="K65" s="27" t="n">
        <x:v>1</x:v>
      </x:c>
      <x:c r="L65" s="27" t="n">
        <x:v>4.5</x:v>
      </x:c>
      <x:c r="M65" s="23" t="n">
        <x:v>2</x:v>
      </x:c>
      <x:c r="N65" s="16" t="str">
        <x:v>先露出一只小体，保住它才会完成第二次裂出。</x:v>
      </x:c>
      <x:c r="O65" s="16" t="str">
        <x:v>眼球包</x:v>
      </x:c>
      <x:c r="P65" s="16" t="str"/>
      <x:c r="Q65" s="16" t="str">
        <x:v>血肉</x:v>
      </x:c>
      <x:c r="R65" s="16" t="str">
        <x:v>繁衍</x:v>
      </x:c>
      <x:c r="S65" s="16" t="str">
        <x:v>物理</x:v>
      </x:c>
      <x:c r="T65" s="16" t="str">
        <x:v>攻击</x:v>
      </x:c>
      <x:c r="U65" s="27" t="n">
        <x:v>1</x:v>
      </x:c>
      <x:c r="V65" s="27" t="n">
        <x:v>1</x:v>
      </x:c>
      <x:c r="W65" s="16" t="str">
        <x:v>frontline</x:v>
      </x:c>
      <x:c r="X65" s="16" t="str">
        <x:v>{"primary":"攻击","fallback_melee":"攻击"}</x:v>
      </x:c>
    </x:row>
    <x:row r="66" ht="31.5" customHeight="1">
      <x:c r="A66" s="14" t="str">
        <x:v>MON_N061</x:v>
      </x:c>
      <x:c r="B66" s="14" t="str">
        <x:v>还魂傀儡</x:v>
      </x:c>
      <x:c r="C66" s="14" t="str">
        <x:v>普通</x:v>
      </x:c>
      <x:c r="D66" s="14" t="str">
        <x:v>一次复生</x:v>
      </x:c>
      <x:c r="E66" s="24" t="n">
        <x:v>9</x:v>
      </x:c>
      <x:c r="F66" s="24" t="n">
        <x:v>3</x:v>
      </x:c>
      <x:c r="G66" s="24" t="n">
        <x:v>66</x:v>
      </x:c>
      <x:c r="H66" s="24" t="n">
        <x:v>7</x:v>
      </x:c>
      <x:c r="I66" s="24" t="n">
        <x:v>0</x:v>
      </x:c>
      <x:c r="J66" s="24" t="n">
        <x:v>0</x:v>
      </x:c>
      <x:c r="K66" s="28" t="n">
        <x:v>1</x:v>
      </x:c>
      <x:c r="L66" s="28" t="n">
        <x:v>4</x:v>
      </x:c>
      <x:c r="M66" s="24" t="n">
        <x:v>1</x:v>
      </x:c>
      <x:c r="N66" s="14" t="str">
        <x:v>倒下后留下可拆残骸，给两回合阻止原地复起。</x:v>
      </x:c>
      <x:c r="O66" s="14" t="str">
        <x:v>重生傀儡</x:v>
      </x:c>
      <x:c r="P66" s="14" t="str"/>
      <x:c r="Q66" s="14" t="str">
        <x:v>幽魂</x:v>
      </x:c>
      <x:c r="R66" s="14" t="str">
        <x:v>繁衍</x:v>
      </x:c>
      <x:c r="S66" s="14" t="str">
        <x:v>物理</x:v>
      </x:c>
      <x:c r="T66" s="14" t="str">
        <x:v>攻击</x:v>
      </x:c>
      <x:c r="U66" s="28" t="n">
        <x:v>1</x:v>
      </x:c>
      <x:c r="V66" s="28" t="n">
        <x:v>1</x:v>
      </x:c>
      <x:c r="W66" s="14" t="str">
        <x:v>frontline</x:v>
      </x:c>
      <x:c r="X66" s="14" t="str">
        <x:v>{"primary":"攻击","fallback_melee":"攻击"}</x:v>
      </x:c>
    </x:row>
    <x:row r="67" ht="31.5" customHeight="1">
      <x:c r="A67" s="16" t="str">
        <x:v>MON_N062</x:v>
      </x:c>
      <x:c r="B67" s="16" t="str">
        <x:v>迁墓傀儡</x:v>
      </x:c>
      <x:c r="C67" s="16" t="str">
        <x:v>普通</x:v>
      </x:c>
      <x:c r="D67" s="16" t="str">
        <x:v>一次复生</x:v>
      </x:c>
      <x:c r="E67" s="23" t="n">
        <x:v>11</x:v>
      </x:c>
      <x:c r="F67" s="23" t="n">
        <x:v>3</x:v>
      </x:c>
      <x:c r="G67" s="23" t="n">
        <x:v>60</x:v>
      </x:c>
      <x:c r="H67" s="23" t="n">
        <x:v>7</x:v>
      </x:c>
      <x:c r="I67" s="23" t="n">
        <x:v>0</x:v>
      </x:c>
      <x:c r="J67" s="23" t="n">
        <x:v>0</x:v>
      </x:c>
      <x:c r="K67" s="27" t="n">
        <x:v>1</x:v>
      </x:c>
      <x:c r="L67" s="27" t="n">
        <x:v>4</x:v>
      </x:c>
      <x:c r="M67" s="23" t="n">
        <x:v>1</x:v>
      </x:c>
      <x:c r="N67" s="16" t="str">
        <x:v>残骸留在原地，复起位置提前标在旁边。</x:v>
      </x:c>
      <x:c r="O67" s="16" t="str">
        <x:v>重生傀儡</x:v>
      </x:c>
      <x:c r="P67" s="16" t="str"/>
      <x:c r="Q67" s="16" t="str">
        <x:v>幽魂</x:v>
      </x:c>
      <x:c r="R67" s="16" t="str">
        <x:v>繁衍</x:v>
      </x:c>
      <x:c r="S67" s="16" t="str">
        <x:v>物理</x:v>
      </x:c>
      <x:c r="T67" s="16" t="str">
        <x:v>攻击</x:v>
      </x:c>
      <x:c r="U67" s="27" t="n">
        <x:v>1</x:v>
      </x:c>
      <x:c r="V67" s="27" t="n">
        <x:v>2</x:v>
      </x:c>
      <x:c r="W67" s="16" t="str">
        <x:v>frontline</x:v>
      </x:c>
      <x:c r="X67" s="16" t="str">
        <x:v>{"primary":"攻击","fallback_melee":"攻击"}</x:v>
      </x:c>
    </x:row>
    <x:row r="68" ht="31.5" customHeight="1">
      <x:c r="A68" s="14" t="str">
        <x:v>MON_N063</x:v>
      </x:c>
      <x:c r="B68" s="14" t="str">
        <x:v>系命幽偶</x:v>
      </x:c>
      <x:c r="C68" s="14" t="str">
        <x:v>普通</x:v>
      </x:c>
      <x:c r="D68" s="14" t="str">
        <x:v>一次复生</x:v>
      </x:c>
      <x:c r="E68" s="24" t="n">
        <x:v>14</x:v>
      </x:c>
      <x:c r="F68" s="24" t="n">
        <x:v>3</x:v>
      </x:c>
      <x:c r="G68" s="24" t="n">
        <x:v>64</x:v>
      </x:c>
      <x:c r="H68" s="24" t="n">
        <x:v>6</x:v>
      </x:c>
      <x:c r="I68" s="24" t="n">
        <x:v>0</x:v>
      </x:c>
      <x:c r="J68" s="24" t="n">
        <x:v>0</x:v>
      </x:c>
      <x:c r="K68" s="28" t="n">
        <x:v>1</x:v>
      </x:c>
      <x:c r="L68" s="28" t="n">
        <x:v>4.5</x:v>
      </x:c>
      <x:c r="M68" s="24" t="n">
        <x:v>1</x:v>
      </x:c>
      <x:c r="N68" s="14" t="str">
        <x:v>它倒下后会标记一名同伴，杀掉同伴也能阻止复起。</x:v>
      </x:c>
      <x:c r="O68" s="14" t="str">
        <x:v>齐刘海</x:v>
      </x:c>
      <x:c r="P68" s="14" t="str"/>
      <x:c r="Q68" s="14" t="str">
        <x:v>幽魂</x:v>
      </x:c>
      <x:c r="R68" s="14" t="str">
        <x:v>繁衍</x:v>
      </x:c>
      <x:c r="S68" s="14" t="str">
        <x:v>物理</x:v>
      </x:c>
      <x:c r="T68" s="14" t="str">
        <x:v>攻击</x:v>
      </x:c>
      <x:c r="U68" s="28" t="n">
        <x:v>1</x:v>
      </x:c>
      <x:c r="V68" s="28" t="n">
        <x:v>3</x:v>
      </x:c>
      <x:c r="W68" s="14" t="str">
        <x:v>frontline</x:v>
      </x:c>
      <x:c r="X68" s="14" t="str">
        <x:v>{"primary":"攻击","fallback_melee":"攻击"}</x:v>
      </x:c>
    </x:row>
    <x:row r="69" ht="42" customHeight="1">
      <x:c r="A69" s="16" t="str">
        <x:v>MON_N064</x:v>
      </x:c>
      <x:c r="B69" s="16" t="str">
        <x:v>立棺弩偶</x:v>
      </x:c>
      <x:c r="C69" s="16" t="str">
        <x:v>普通</x:v>
      </x:c>
      <x:c r="D69" s="16" t="str">
        <x:v>一次复生</x:v>
      </x:c>
      <x:c r="E69" s="23" t="n">
        <x:v>17</x:v>
      </x:c>
      <x:c r="F69" s="23" t="n">
        <x:v>3</x:v>
      </x:c>
      <x:c r="G69" s="23" t="n">
        <x:v>58</x:v>
      </x:c>
      <x:c r="H69" s="23" t="n">
        <x:v>8</x:v>
      </x:c>
      <x:c r="I69" s="23" t="n">
        <x:v>0</x:v>
      </x:c>
      <x:c r="J69" s="23" t="n">
        <x:v>0</x:v>
      </x:c>
      <x:c r="K69" s="27" t="n">
        <x:v>1</x:v>
      </x:c>
      <x:c r="L69" s="27" t="n">
        <x:v>4.5</x:v>
      </x:c>
      <x:c r="M69" s="23" t="n">
        <x:v>1</x:v>
      </x:c>
      <x:c r="N69" s="16" t="str">
        <x:v>第一条命追击，复起后变成不会移动的射手。</x:v>
      </x:c>
      <x:c r="O69" s="16" t="str">
        <x:v>重生傀儡</x:v>
      </x:c>
      <x:c r="P69" s="16" t="str"/>
      <x:c r="Q69" s="16" t="str">
        <x:v>幽魂</x:v>
      </x:c>
      <x:c r="R69" s="16" t="str">
        <x:v>远程</x:v>
      </x:c>
      <x:c r="S69" s="16" t="str">
        <x:v>物理</x:v>
      </x:c>
      <x:c r="T69" s="16" t="str">
        <x:v>攻击</x:v>
      </x:c>
      <x:c r="U69" s="27" t="n">
        <x:v>1.5</x:v>
      </x:c>
      <x:c r="V69" s="27" t="n">
        <x:v>4</x:v>
      </x:c>
      <x:c r="W69" s="16" t="str">
        <x:v>ranged_damage</x:v>
      </x:c>
      <x:c r="X69" s="16" t="str">
        <x:v>{"primary":"攻击","fallback_melee":"攻击","revived_shot":"投射物"}</x:v>
      </x:c>
    </x:row>
    <x:row r="70" ht="31.5" customHeight="1">
      <x:c r="A70" s="14" t="str">
        <x:v>MON_N065</x:v>
      </x:c>
      <x:c r="B70" s="14" t="str">
        <x:v>换位幽灯</x:v>
      </x:c>
      <x:c r="C70" s="14" t="str">
        <x:v>普通</x:v>
      </x:c>
      <x:c r="D70" s="14" t="str">
        <x:v>预告瞬移</x:v>
      </x:c>
      <x:c r="E70" s="24" t="n">
        <x:v>8</x:v>
      </x:c>
      <x:c r="F70" s="24" t="n">
        <x:v>3</x:v>
      </x:c>
      <x:c r="G70" s="24" t="n">
        <x:v>38</x:v>
      </x:c>
      <x:c r="H70" s="24" t="n">
        <x:v>6</x:v>
      </x:c>
      <x:c r="I70" s="24" t="n">
        <x:v>0</x:v>
      </x:c>
      <x:c r="J70" s="24" t="n">
        <x:v>0</x:v>
      </x:c>
      <x:c r="K70" s="28" t="n">
        <x:v>1</x:v>
      </x:c>
      <x:c r="L70" s="28" t="n">
        <x:v>3.5</x:v>
      </x:c>
      <x:c r="M70" s="24" t="n">
        <x:v>0</x:v>
      </x:c>
      <x:c r="N70" s="14" t="str">
        <x:v>提前标出英雄侧方的一个落点，再换位接近。</x:v>
      </x:c>
      <x:c r="O70" s="14" t="str">
        <x:v>齐刘海</x:v>
      </x:c>
      <x:c r="P70" s="14" t="str"/>
      <x:c r="Q70" s="14" t="str">
        <x:v>幽魂</x:v>
      </x:c>
      <x:c r="R70" s="14" t="str">
        <x:v>控制</x:v>
      </x:c>
      <x:c r="S70" s="14" t="str">
        <x:v>物理</x:v>
      </x:c>
      <x:c r="T70" s="14" t="str">
        <x:v>攻击</x:v>
      </x:c>
      <x:c r="U70" s="28" t="n">
        <x:v>1</x:v>
      </x:c>
      <x:c r="V70" s="28" t="n">
        <x:v>2</x:v>
      </x:c>
      <x:c r="W70" s="14" t="str">
        <x:v>controller</x:v>
      </x:c>
      <x:c r="X70" s="14" t="str">
        <x:v>{"primary":"攻击","fallback_melee":"攻击"}</x:v>
      </x:c>
    </x:row>
    <x:row r="71" ht="42" customHeight="1">
      <x:c r="A71" s="16" t="str">
        <x:v>MON_N066</x:v>
      </x:c>
      <x:c r="B71" s="16" t="str">
        <x:v>退影幽灯</x:v>
      </x:c>
      <x:c r="C71" s="16" t="str">
        <x:v>普通</x:v>
      </x:c>
      <x:c r="D71" s="16" t="str">
        <x:v>预告瞬移</x:v>
      </x:c>
      <x:c r="E71" s="23" t="n">
        <x:v>10</x:v>
      </x:c>
      <x:c r="F71" s="23" t="n">
        <x:v>3</x:v>
      </x:c>
      <x:c r="G71" s="23" t="n">
        <x:v>34</x:v>
      </x:c>
      <x:c r="H71" s="23" t="n">
        <x:v>7</x:v>
      </x:c>
      <x:c r="I71" s="23" t="n">
        <x:v>0</x:v>
      </x:c>
      <x:c r="J71" s="23" t="n">
        <x:v>0</x:v>
      </x:c>
      <x:c r="K71" s="27" t="n">
        <x:v>1</x:v>
      </x:c>
      <x:c r="L71" s="27" t="n">
        <x:v>4</x:v>
      </x:c>
      <x:c r="M71" s="23" t="n">
        <x:v>0</x:v>
      </x:c>
      <x:c r="N71" s="16" t="str">
        <x:v>英雄靠近后先撤到公开位置，再预告一发射击。</x:v>
      </x:c>
      <x:c r="O71" s="16" t="str">
        <x:v>齐刘海</x:v>
      </x:c>
      <x:c r="P71" s="16" t="str"/>
      <x:c r="Q71" s="16" t="str">
        <x:v>幽魂</x:v>
      </x:c>
      <x:c r="R71" s="16" t="str">
        <x:v>远程</x:v>
      </x:c>
      <x:c r="S71" s="16" t="str">
        <x:v>物理</x:v>
      </x:c>
      <x:c r="T71" s="16" t="str">
        <x:v>投射物</x:v>
      </x:c>
      <x:c r="U71" s="27" t="n">
        <x:v>0.5</x:v>
      </x:c>
      <x:c r="V71" s="27" t="n">
        <x:v>4</x:v>
      </x:c>
      <x:c r="W71" s="16" t="str">
        <x:v>ranged_damage</x:v>
      </x:c>
      <x:c r="X71" s="16" t="str">
        <x:v>{"primary":"投射物","fallback_melee":"攻击"}</x:v>
      </x:c>
    </x:row>
    <x:row r="72" ht="31.5" customHeight="1">
      <x:c r="A72" s="14" t="str">
        <x:v>MON_N067</x:v>
      </x:c>
      <x:c r="B72" s="14" t="str">
        <x:v>巡廊幽灯</x:v>
      </x:c>
      <x:c r="C72" s="14" t="str">
        <x:v>普通</x:v>
      </x:c>
      <x:c r="D72" s="14" t="str">
        <x:v>预告瞬移</x:v>
      </x:c>
      <x:c r="E72" s="24" t="n">
        <x:v>13</x:v>
      </x:c>
      <x:c r="F72" s="24" t="n">
        <x:v>3</x:v>
      </x:c>
      <x:c r="G72" s="24" t="n">
        <x:v>42</x:v>
      </x:c>
      <x:c r="H72" s="24" t="n">
        <x:v>6</x:v>
      </x:c>
      <x:c r="I72" s="24" t="n">
        <x:v>0</x:v>
      </x:c>
      <x:c r="J72" s="24" t="n">
        <x:v>0</x:v>
      </x:c>
      <x:c r="K72" s="28" t="n">
        <x:v>1</x:v>
      </x:c>
      <x:c r="L72" s="28" t="n">
        <x:v>3.5</x:v>
      </x:c>
      <x:c r="M72" s="24" t="n">
        <x:v>0</x:v>
      </x:c>
      <x:c r="N72" s="14" t="str">
        <x:v>在两个公开固定站位间轮换，每次只跳一次。</x:v>
      </x:c>
      <x:c r="O72" s="14" t="str">
        <x:v>齐刘海</x:v>
      </x:c>
      <x:c r="P72" s="14" t="str"/>
      <x:c r="Q72" s="14" t="str">
        <x:v>幽魂</x:v>
      </x:c>
      <x:c r="R72" s="14" t="str">
        <x:v>控制</x:v>
      </x:c>
      <x:c r="S72" s="14" t="str">
        <x:v>物理</x:v>
      </x:c>
      <x:c r="T72" s="14" t="str">
        <x:v>攻击</x:v>
      </x:c>
      <x:c r="U72" s="28" t="n">
        <x:v>1</x:v>
      </x:c>
      <x:c r="V72" s="28" t="n">
        <x:v>2</x:v>
      </x:c>
      <x:c r="W72" s="14" t="str">
        <x:v>controller</x:v>
      </x:c>
      <x:c r="X72" s="14" t="str">
        <x:v>{"primary":"攻击","fallback_melee":"攻击"}</x:v>
      </x:c>
    </x:row>
    <x:row r="73" ht="31.5" customHeight="1">
      <x:c r="A73" s="16" t="str">
        <x:v>MON_N068</x:v>
      </x:c>
      <x:c r="B73" s="16" t="str">
        <x:v>护伴幽灯</x:v>
      </x:c>
      <x:c r="C73" s="16" t="str">
        <x:v>普通</x:v>
      </x:c>
      <x:c r="D73" s="16" t="str">
        <x:v>预告瞬移</x:v>
      </x:c>
      <x:c r="E73" s="23" t="n">
        <x:v>16</x:v>
      </x:c>
      <x:c r="F73" s="23" t="n">
        <x:v>3</x:v>
      </x:c>
      <x:c r="G73" s="23" t="n">
        <x:v>44</x:v>
      </x:c>
      <x:c r="H73" s="23" t="n">
        <x:v>5</x:v>
      </x:c>
      <x:c r="I73" s="23" t="n">
        <x:v>0</x:v>
      </x:c>
      <x:c r="J73" s="23" t="n">
        <x:v>0</x:v>
      </x:c>
      <x:c r="K73" s="27" t="n">
        <x:v>1</x:v>
      </x:c>
      <x:c r="L73" s="27" t="n">
        <x:v>4</x:v>
      </x:c>
      <x:c r="M73" s="23" t="n">
        <x:v>0</x:v>
      </x:c>
      <x:c r="N73" s="16" t="str">
        <x:v>跳到一个同伴旁边，用实际身体和近战改变路线。</x:v>
      </x:c>
      <x:c r="O73" s="16" t="str">
        <x:v>齐刘海</x:v>
      </x:c>
      <x:c r="P73" s="16" t="str"/>
      <x:c r="Q73" s="16" t="str">
        <x:v>幽魂</x:v>
      </x:c>
      <x:c r="R73" s="16" t="str">
        <x:v>控制</x:v>
      </x:c>
      <x:c r="S73" s="16" t="str">
        <x:v>物理</x:v>
      </x:c>
      <x:c r="T73" s="16" t="str">
        <x:v>攻击</x:v>
      </x:c>
      <x:c r="U73" s="27" t="n">
        <x:v>1</x:v>
      </x:c>
      <x:c r="V73" s="27" t="n">
        <x:v>3</x:v>
      </x:c>
      <x:c r="W73" s="16" t="str">
        <x:v>controller</x:v>
      </x:c>
      <x:c r="X73" s="16" t="str">
        <x:v>{"primary":"攻击","fallback_melee":"攻击"}</x:v>
      </x:c>
    </x:row>
    <x:row r="74" ht="31.5" customHeight="1">
      <x:c r="A74" s="14" t="str">
        <x:v>MON_N069</x:v>
      </x:c>
      <x:c r="B74" s="14" t="str">
        <x:v>牵线脑</x:v>
      </x:c>
      <x:c r="C74" s="14" t="str">
        <x:v>普通</x:v>
      </x:c>
      <x:c r="D74" s="14" t="str">
        <x:v>牵引位移</x:v>
      </x:c>
      <x:c r="E74" s="24" t="n">
        <x:v>10</x:v>
      </x:c>
      <x:c r="F74" s="24" t="n">
        <x:v>3</x:v>
      </x:c>
      <x:c r="G74" s="24" t="n">
        <x:v>44</x:v>
      </x:c>
      <x:c r="H74" s="24" t="n">
        <x:v>5</x:v>
      </x:c>
      <x:c r="I74" s="24" t="n">
        <x:v>0</x:v>
      </x:c>
      <x:c r="J74" s="24" t="n">
        <x:v>0</x:v>
      </x:c>
      <x:c r="K74" s="28" t="n">
        <x:v>0</x:v>
      </x:c>
      <x:c r="L74" s="28" t="n">
        <x:v>4</x:v>
      </x:c>
      <x:c r="M74" s="24" t="n">
        <x:v>0</x:v>
      </x:c>
      <x:c r="N74" s="14" t="str">
        <x:v>站在细直线里才会被拉近一格。</x:v>
      </x:c>
      <x:c r="O74" s="14" t="str">
        <x:v>章鱼脑</x:v>
      </x:c>
      <x:c r="P74" s="14" t="str"/>
      <x:c r="Q74" s="14" t="str">
        <x:v>血肉</x:v>
      </x:c>
      <x:c r="R74" s="14" t="str">
        <x:v>控制</x:v>
      </x:c>
      <x:c r="S74" s="14" t="str">
        <x:v>抓钩</x:v>
      </x:c>
      <x:c r="T74" s="14" t="str">
        <x:v>主动</x:v>
      </x:c>
      <x:c r="U74" s="28" t="n">
        <x:v>0.5</x:v>
      </x:c>
      <x:c r="V74" s="28" t="n">
        <x:v>3</x:v>
      </x:c>
      <x:c r="W74" s="14" t="str">
        <x:v>controller</x:v>
      </x:c>
      <x:c r="X74" s="14" t="str">
        <x:v>{"primary":"主动","fallback_melee":"攻击"}</x:v>
      </x:c>
    </x:row>
    <x:row r="75" ht="31.5" customHeight="1">
      <x:c r="A75" s="16" t="str">
        <x:v>MON_N070</x:v>
      </x:c>
      <x:c r="B75" s="16" t="str">
        <x:v>侧钩幽脑</x:v>
      </x:c>
      <x:c r="C75" s="16" t="str">
        <x:v>普通</x:v>
      </x:c>
      <x:c r="D75" s="16" t="str">
        <x:v>牵引位移</x:v>
      </x:c>
      <x:c r="E75" s="23" t="n">
        <x:v>12</x:v>
      </x:c>
      <x:c r="F75" s="23" t="n">
        <x:v>3</x:v>
      </x:c>
      <x:c r="G75" s="23" t="n">
        <x:v>40</x:v>
      </x:c>
      <x:c r="H75" s="23" t="n">
        <x:v>4</x:v>
      </x:c>
      <x:c r="I75" s="23" t="n">
        <x:v>0</x:v>
      </x:c>
      <x:c r="J75" s="23" t="n">
        <x:v>0</x:v>
      </x:c>
      <x:c r="K75" s="27" t="n">
        <x:v>0</x:v>
      </x:c>
      <x:c r="L75" s="27" t="n">
        <x:v>4</x:v>
      </x:c>
      <x:c r="M75" s="23" t="n">
        <x:v>0</x:v>
      </x:c>
      <x:c r="N75" s="16" t="str">
        <x:v>一个小圆区会把人拉向固定侧边方向。</x:v>
      </x:c>
      <x:c r="O75" s="16" t="str">
        <x:v>水母脑</x:v>
      </x:c>
      <x:c r="P75" s="16" t="str"/>
      <x:c r="Q75" s="16" t="str">
        <x:v>幽魂</x:v>
      </x:c>
      <x:c r="R75" s="16" t="str">
        <x:v>控制</x:v>
      </x:c>
      <x:c r="S75" s="16" t="str">
        <x:v>抓钩</x:v>
      </x:c>
      <x:c r="T75" s="16" t="str">
        <x:v>主动</x:v>
      </x:c>
      <x:c r="U75" s="27" t="n">
        <x:v>0.5</x:v>
      </x:c>
      <x:c r="V75" s="27" t="n">
        <x:v>3</x:v>
      </x:c>
      <x:c r="W75" s="16" t="str">
        <x:v>controller</x:v>
      </x:c>
      <x:c r="X75" s="16" t="str">
        <x:v>{"primary":"主动","fallback_melee":"攻击"}</x:v>
      </x:c>
    </x:row>
    <x:row r="76" ht="31.5" customHeight="1">
      <x:c r="A76" s="14" t="str">
        <x:v>MON_N071</x:v>
      </x:c>
      <x:c r="B76" s="14" t="str">
        <x:v>远钩脑</x:v>
      </x:c>
      <x:c r="C76" s="14" t="str">
        <x:v>普通</x:v>
      </x:c>
      <x:c r="D76" s="14" t="str">
        <x:v>牵引位移</x:v>
      </x:c>
      <x:c r="E76" s="24" t="n">
        <x:v>15</x:v>
      </x:c>
      <x:c r="F76" s="24" t="n">
        <x:v>3</x:v>
      </x:c>
      <x:c r="G76" s="24" t="n">
        <x:v>46</x:v>
      </x:c>
      <x:c r="H76" s="24" t="n">
        <x:v>5</x:v>
      </x:c>
      <x:c r="I76" s="24" t="n">
        <x:v>0</x:v>
      </x:c>
      <x:c r="J76" s="24" t="n">
        <x:v>0</x:v>
      </x:c>
      <x:c r="K76" s="28" t="n">
        <x:v>0</x:v>
      </x:c>
      <x:c r="L76" s="28" t="n">
        <x:v>4.5</x:v>
      </x:c>
      <x:c r="M76" s="24" t="n">
        <x:v>0</x:v>
      </x:c>
      <x:c r="N76" s="14" t="str">
        <x:v>只钩远处一段细长区域，近身反而安全。</x:v>
      </x:c>
      <x:c r="O76" s="14" t="str">
        <x:v>章鱼脑</x:v>
      </x:c>
      <x:c r="P76" s="14" t="str"/>
      <x:c r="Q76" s="14" t="str">
        <x:v>血肉</x:v>
      </x:c>
      <x:c r="R76" s="14" t="str">
        <x:v>控制</x:v>
      </x:c>
      <x:c r="S76" s="14" t="str">
        <x:v>抓钩</x:v>
      </x:c>
      <x:c r="T76" s="14" t="str">
        <x:v>主动</x:v>
      </x:c>
      <x:c r="U76" s="28" t="n">
        <x:v>0.5</x:v>
      </x:c>
      <x:c r="V76" s="28" t="n">
        <x:v>4</x:v>
      </x:c>
      <x:c r="W76" s="14" t="str">
        <x:v>controller</x:v>
      </x:c>
      <x:c r="X76" s="14" t="str">
        <x:v>{"primary":"主动","fallback_melee":"攻击"}</x:v>
      </x:c>
    </x:row>
    <x:row r="77" ht="31.5" customHeight="1">
      <x:c r="A77" s="16" t="str">
        <x:v>MON_N072</x:v>
      </x:c>
      <x:c r="B77" s="16" t="str">
        <x:v>折线牵索</x:v>
      </x:c>
      <x:c r="C77" s="16" t="str">
        <x:v>普通</x:v>
      </x:c>
      <x:c r="D77" s="16" t="str">
        <x:v>牵引位移</x:v>
      </x:c>
      <x:c r="E77" s="23" t="n">
        <x:v>18</x:v>
      </x:c>
      <x:c r="F77" s="23" t="n">
        <x:v>3</x:v>
      </x:c>
      <x:c r="G77" s="23" t="n">
        <x:v>48</x:v>
      </x:c>
      <x:c r="H77" s="23" t="n">
        <x:v>4</x:v>
      </x:c>
      <x:c r="I77" s="23" t="n">
        <x:v>0</x:v>
      </x:c>
      <x:c r="J77" s="23" t="n">
        <x:v>0</x:v>
      </x:c>
      <x:c r="K77" s="27" t="n">
        <x:v>0</x:v>
      </x:c>
      <x:c r="L77" s="27" t="n">
        <x:v>5</x:v>
      </x:c>
      <x:c r="M77" s="23" t="n">
        <x:v>0</x:v>
      </x:c>
      <x:c r="N77" s="16" t="str">
        <x:v>先横向、再纵向牵引，两次之间都能重新发射。</x:v>
      </x:c>
      <x:c r="O77" s="16" t="str">
        <x:v>齐刘海</x:v>
      </x:c>
      <x:c r="P77" s="16" t="str"/>
      <x:c r="Q77" s="16" t="str">
        <x:v>幽魂</x:v>
      </x:c>
      <x:c r="R77" s="16" t="str">
        <x:v>控制</x:v>
      </x:c>
      <x:c r="S77" s="16" t="str">
        <x:v>抓钩</x:v>
      </x:c>
      <x:c r="T77" s="16" t="str">
        <x:v>主动</x:v>
      </x:c>
      <x:c r="U77" s="27" t="n">
        <x:v>0.5</x:v>
      </x:c>
      <x:c r="V77" s="27" t="n">
        <x:v>3</x:v>
      </x:c>
      <x:c r="W77" s="16" t="str">
        <x:v>controller</x:v>
      </x:c>
      <x:c r="X77" s="16" t="str">
        <x:v>{"primary":"主动","fallback_melee":"攻击"}</x:v>
      </x:c>
    </x:row>
    <x:row r="78" ht="31.5" customHeight="1">
      <x:c r="A78" s="14" t="str">
        <x:v>MON_N073</x:v>
      </x:c>
      <x:c r="B78" s="14" t="str">
        <x:v>垒墙晶匠</x:v>
      </x:c>
      <x:c r="C78" s="14" t="str">
        <x:v>普通</x:v>
      </x:c>
      <x:c r="D78" s="14" t="str">
        <x:v>可拆路障</x:v>
      </x:c>
      <x:c r="E78" s="24" t="n">
        <x:v>11</x:v>
      </x:c>
      <x:c r="F78" s="24" t="n">
        <x:v>3</x:v>
      </x:c>
      <x:c r="G78" s="24" t="n">
        <x:v>58</x:v>
      </x:c>
      <x:c r="H78" s="24" t="n">
        <x:v>4</x:v>
      </x:c>
      <x:c r="I78" s="24" t="n">
        <x:v>0</x:v>
      </x:c>
      <x:c r="J78" s="24" t="n">
        <x:v>0</x:v>
      </x:c>
      <x:c r="K78" s="28" t="n">
        <x:v>0</x:v>
      </x:c>
      <x:c r="L78" s="28" t="n">
        <x:v>4.5</x:v>
      </x:c>
      <x:c r="M78" s="24" t="n">
        <x:v>2</x:v>
      </x:c>
      <x:c r="N78" s="14" t="str">
        <x:v>会在预告的一点筑起能用普通碰撞拆掉的小墙。</x:v>
      </x:c>
      <x:c r="O78" s="14" t="str">
        <x:v>结晶簇</x:v>
      </x:c>
      <x:c r="P78" s="14" t="str"/>
      <x:c r="Q78" s="14" t="str">
        <x:v>结晶</x:v>
      </x:c>
      <x:c r="R78" s="14" t="str">
        <x:v>控制</x:v>
      </x:c>
      <x:c r="S78" s="14" t="str">
        <x:v>物理</x:v>
      </x:c>
      <x:c r="T78" s="14" t="str">
        <x:v>主动</x:v>
      </x:c>
      <x:c r="U78" s="28" t="n">
        <x:v>0.5</x:v>
      </x:c>
      <x:c r="V78" s="28" t="n">
        <x:v>3</x:v>
      </x:c>
      <x:c r="W78" s="14" t="str">
        <x:v>controller</x:v>
      </x:c>
      <x:c r="X78" s="14" t="str">
        <x:v>{"primary":"主动","fallback_melee":"攻击"}</x:v>
      </x:c>
    </x:row>
    <x:row r="79" ht="31.5" customHeight="1">
      <x:c r="A79" s="16" t="str">
        <x:v>MON_N074</x:v>
      </x:c>
      <x:c r="B79" s="16" t="str">
        <x:v>双柱晶匠</x:v>
      </x:c>
      <x:c r="C79" s="16" t="str">
        <x:v>普通</x:v>
      </x:c>
      <x:c r="D79" s="16" t="str">
        <x:v>可拆路障</x:v>
      </x:c>
      <x:c r="E79" s="23" t="n">
        <x:v>13</x:v>
      </x:c>
      <x:c r="F79" s="23" t="n">
        <x:v>3</x:v>
      </x:c>
      <x:c r="G79" s="23" t="n">
        <x:v>62</x:v>
      </x:c>
      <x:c r="H79" s="23" t="n">
        <x:v>4</x:v>
      </x:c>
      <x:c r="I79" s="23" t="n">
        <x:v>0</x:v>
      </x:c>
      <x:c r="J79" s="23" t="n">
        <x:v>0</x:v>
      </x:c>
      <x:c r="K79" s="27" t="n">
        <x:v>0</x:v>
      </x:c>
      <x:c r="L79" s="27" t="n">
        <x:v>5</x:v>
      </x:c>
      <x:c r="M79" s="23" t="n">
        <x:v>2</x:v>
      </x:c>
      <x:c r="N79" s="16" t="str">
        <x:v>左右同时竖两根可拆柱，中间始终留通道。</x:v>
      </x:c>
      <x:c r="O79" s="16" t="str">
        <x:v>结晶簇</x:v>
      </x:c>
      <x:c r="P79" s="16" t="str"/>
      <x:c r="Q79" s="16" t="str">
        <x:v>结晶</x:v>
      </x:c>
      <x:c r="R79" s="16" t="str">
        <x:v>控制</x:v>
      </x:c>
      <x:c r="S79" s="16" t="str">
        <x:v>物理</x:v>
      </x:c>
      <x:c r="T79" s="16" t="str">
        <x:v>主动</x:v>
      </x:c>
      <x:c r="U79" s="27" t="n">
        <x:v>0.5</x:v>
      </x:c>
      <x:c r="V79" s="27" t="n">
        <x:v>3</x:v>
      </x:c>
      <x:c r="W79" s="16" t="str">
        <x:v>controller</x:v>
      </x:c>
      <x:c r="X79" s="16" t="str">
        <x:v>{"primary":"主动","fallback_melee":"攻击"}</x:v>
      </x:c>
    </x:row>
    <x:row r="80" ht="31.5" customHeight="1">
      <x:c r="A80" s="14" t="str">
        <x:v>MON_N075</x:v>
      </x:c>
      <x:c r="B80" s="14" t="str">
        <x:v>轮门筑匠</x:v>
      </x:c>
      <x:c r="C80" s="14" t="str">
        <x:v>普通</x:v>
      </x:c>
      <x:c r="D80" s="14" t="str">
        <x:v>可拆路障</x:v>
      </x:c>
      <x:c r="E80" s="24" t="n">
        <x:v>16</x:v>
      </x:c>
      <x:c r="F80" s="24" t="n">
        <x:v>3</x:v>
      </x:c>
      <x:c r="G80" s="24" t="n">
        <x:v>54</x:v>
      </x:c>
      <x:c r="H80" s="24" t="n">
        <x:v>5</x:v>
      </x:c>
      <x:c r="I80" s="24" t="n">
        <x:v>0</x:v>
      </x:c>
      <x:c r="J80" s="24" t="n">
        <x:v>0</x:v>
      </x:c>
      <x:c r="K80" s="28" t="n">
        <x:v>0</x:v>
      </x:c>
      <x:c r="L80" s="28" t="n">
        <x:v>4.5</x:v>
      </x:c>
      <x:c r="M80" s="24" t="n">
        <x:v>2</x:v>
      </x:c>
      <x:c r="N80" s="14" t="str">
        <x:v>左路与右路轮流出现短命路障，永不同时封住。</x:v>
      </x:c>
      <x:c r="O80" s="14" t="str">
        <x:v>结晶骑士</x:v>
      </x:c>
      <x:c r="P80" s="14" t="str"/>
      <x:c r="Q80" s="14" t="str">
        <x:v>结晶</x:v>
      </x:c>
      <x:c r="R80" s="14" t="str">
        <x:v>控制</x:v>
      </x:c>
      <x:c r="S80" s="14" t="str">
        <x:v>物理</x:v>
      </x:c>
      <x:c r="T80" s="14" t="str">
        <x:v>主动</x:v>
      </x:c>
      <x:c r="U80" s="28" t="n">
        <x:v>0.5</x:v>
      </x:c>
      <x:c r="V80" s="28" t="n">
        <x:v>3</x:v>
      </x:c>
      <x:c r="W80" s="14" t="str">
        <x:v>controller</x:v>
      </x:c>
      <x:c r="X80" s="14" t="str">
        <x:v>{"primary":"主动","fallback_melee":"攻击"}</x:v>
      </x:c>
    </x:row>
    <x:row r="81" ht="31.5" customHeight="1">
      <x:c r="A81" s="16" t="str">
        <x:v>MON_N076</x:v>
      </x:c>
      <x:c r="B81" s="16" t="str">
        <x:v>护巢筑匠</x:v>
      </x:c>
      <x:c r="C81" s="16" t="str">
        <x:v>普通</x:v>
      </x:c>
      <x:c r="D81" s="16" t="str">
        <x:v>可拆路障</x:v>
      </x:c>
      <x:c r="E81" s="23" t="n">
        <x:v>19</x:v>
      </x:c>
      <x:c r="F81" s="23" t="n">
        <x:v>3</x:v>
      </x:c>
      <x:c r="G81" s="23" t="n">
        <x:v>50</x:v>
      </x:c>
      <x:c r="H81" s="23" t="n">
        <x:v>4</x:v>
      </x:c>
      <x:c r="I81" s="23" t="n">
        <x:v>0</x:v>
      </x:c>
      <x:c r="J81" s="23" t="n">
        <x:v>0</x:v>
      </x:c>
      <x:c r="K81" s="27" t="n">
        <x:v>0</x:v>
      </x:c>
      <x:c r="L81" s="27" t="n">
        <x:v>4</x:v>
      </x:c>
      <x:c r="M81" s="23" t="n">
        <x:v>2</x:v>
      </x:c>
      <x:c r="N81" s="16" t="str">
        <x:v>给一个同伴的正面放一块短命可拆挡板。</x:v>
      </x:c>
      <x:c r="O81" s="16" t="str">
        <x:v>结晶</x:v>
      </x:c>
      <x:c r="P81" s="16" t="str"/>
      <x:c r="Q81" s="16" t="str">
        <x:v>结晶</x:v>
      </x:c>
      <x:c r="R81" s="16" t="str">
        <x:v>控制</x:v>
      </x:c>
      <x:c r="S81" s="16" t="str">
        <x:v>物理</x:v>
      </x:c>
      <x:c r="T81" s="16" t="str">
        <x:v>主动</x:v>
      </x:c>
      <x:c r="U81" s="27" t="n">
        <x:v>0.5</x:v>
      </x:c>
      <x:c r="V81" s="27" t="n">
        <x:v>3</x:v>
      </x:c>
      <x:c r="W81" s="16" t="str">
        <x:v>controller</x:v>
      </x:c>
      <x:c r="X81" s="16" t="str">
        <x:v>{"primary":"主动","fallback_melee":"攻击"}</x:v>
      </x:c>
    </x:row>
    <x:row r="82" ht="42" customHeight="1">
      <x:c r="A82" s="14" t="str">
        <x:v>MON_N077</x:v>
      </x:c>
      <x:c r="B82" s="14" t="str">
        <x:v>蓄炮晶塔</x:v>
      </x:c>
      <x:c r="C82" s="14" t="str">
        <x:v>普通</x:v>
      </x:c>
      <x:c r="D82" s="14" t="str">
        <x:v>蓄势炮击</x:v>
      </x:c>
      <x:c r="E82" s="24" t="n">
        <x:v>12</x:v>
      </x:c>
      <x:c r="F82" s="24" t="n">
        <x:v>3</x:v>
      </x:c>
      <x:c r="G82" s="24" t="n">
        <x:v>84</x:v>
      </x:c>
      <x:c r="H82" s="24" t="n">
        <x:v>12</x:v>
      </x:c>
      <x:c r="I82" s="24" t="n">
        <x:v>0</x:v>
      </x:c>
      <x:c r="J82" s="24" t="n">
        <x:v>0</x:v>
      </x:c>
      <x:c r="K82" s="28" t="n">
        <x:v>1.8</x:v>
      </x:c>
      <x:c r="L82" s="28" t="n">
        <x:v>5</x:v>
      </x:c>
      <x:c r="M82" s="24" t="n">
        <x:v>0</x:v>
      </x:c>
      <x:c r="N82" s="14" t="str">
        <x:v>一条长直线亮两回合才开炮，开炮后长时间停顿。</x:v>
      </x:c>
      <x:c r="O82" s="14" t="str">
        <x:v>结晶簇</x:v>
      </x:c>
      <x:c r="P82" s="14" t="str"/>
      <x:c r="Q82" s="14" t="str">
        <x:v>结晶</x:v>
      </x:c>
      <x:c r="R82" s="14" t="str">
        <x:v>远程</x:v>
      </x:c>
      <x:c r="S82" s="14" t="str">
        <x:v>物理</x:v>
      </x:c>
      <x:c r="T82" s="14" t="str">
        <x:v>投射物</x:v>
      </x:c>
      <x:c r="U82" s="28" t="n">
        <x:v>0</x:v>
      </x:c>
      <x:c r="V82" s="28" t="n">
        <x:v>5</x:v>
      </x:c>
      <x:c r="W82" s="14" t="str">
        <x:v>ranged_damage / heavy</x:v>
      </x:c>
      <x:c r="X82" s="14" t="str">
        <x:v>{"primary":"投射物","fallback_melee":"攻击"}</x:v>
      </x:c>
    </x:row>
    <x:row r="83" ht="42" customHeight="1">
      <x:c r="A83" s="16" t="str">
        <x:v>MON_N078</x:v>
      </x:c>
      <x:c r="B83" s="16" t="str">
        <x:v>十字炮簇</x:v>
      </x:c>
      <x:c r="C83" s="16" t="str">
        <x:v>普通</x:v>
      </x:c>
      <x:c r="D83" s="16" t="str">
        <x:v>蓄势炮击</x:v>
      </x:c>
      <x:c r="E83" s="23" t="n">
        <x:v>14</x:v>
      </x:c>
      <x:c r="F83" s="23" t="n">
        <x:v>3</x:v>
      </x:c>
      <x:c r="G83" s="23" t="n">
        <x:v>92</x:v>
      </x:c>
      <x:c r="H83" s="23" t="n">
        <x:v>10</x:v>
      </x:c>
      <x:c r="I83" s="23" t="n">
        <x:v>0</x:v>
      </x:c>
      <x:c r="J83" s="23" t="n">
        <x:v>0</x:v>
      </x:c>
      <x:c r="K83" s="27" t="n">
        <x:v>1.4</x:v>
      </x:c>
      <x:c r="L83" s="27" t="n">
        <x:v>5.5</x:v>
      </x:c>
      <x:c r="M83" s="23" t="n">
        <x:v>0</x:v>
      </x:c>
      <x:c r="N83" s="16" t="str">
        <x:v>两条正交炮轴同时亮起，斜向扇区留下空隙。</x:v>
      </x:c>
      <x:c r="O83" s="16" t="str">
        <x:v>结晶簇</x:v>
      </x:c>
      <x:c r="P83" s="16" t="str"/>
      <x:c r="Q83" s="16" t="str">
        <x:v>结晶</x:v>
      </x:c>
      <x:c r="R83" s="16" t="str">
        <x:v>远程</x:v>
      </x:c>
      <x:c r="S83" s="16" t="str">
        <x:v>物理</x:v>
      </x:c>
      <x:c r="T83" s="16" t="str">
        <x:v>投射物</x:v>
      </x:c>
      <x:c r="U83" s="27" t="n">
        <x:v>0</x:v>
      </x:c>
      <x:c r="V83" s="27" t="n">
        <x:v>4</x:v>
      </x:c>
      <x:c r="W83" s="16" t="str">
        <x:v>ranged_damage / heavy</x:v>
      </x:c>
      <x:c r="X83" s="16" t="str">
        <x:v>{"primary":"投射物","fallback_melee":"攻击"}</x:v>
      </x:c>
    </x:row>
    <x:row r="84" ht="42" customHeight="1">
      <x:c r="A84" s="14" t="str">
        <x:v>MON_N079</x:v>
      </x:c>
      <x:c r="B84" s="14" t="str">
        <x:v>空心蓄炮者</x:v>
      </x:c>
      <x:c r="C84" s="14" t="str">
        <x:v>普通</x:v>
      </x:c>
      <x:c r="D84" s="14" t="str">
        <x:v>蓄势炮击</x:v>
      </x:c>
      <x:c r="E84" s="24" t="n">
        <x:v>17</x:v>
      </x:c>
      <x:c r="F84" s="24" t="n">
        <x:v>3</x:v>
      </x:c>
      <x:c r="G84" s="24" t="n">
        <x:v>78</x:v>
      </x:c>
      <x:c r="H84" s="24" t="n">
        <x:v>11</x:v>
      </x:c>
      <x:c r="I84" s="24" t="n">
        <x:v>0</x:v>
      </x:c>
      <x:c r="J84" s="24" t="n">
        <x:v>0</x:v>
      </x:c>
      <x:c r="K84" s="28" t="n">
        <x:v>1.6</x:v>
      </x:c>
      <x:c r="L84" s="28" t="n">
        <x:v>5</x:v>
      </x:c>
      <x:c r="M84" s="24" t="n">
        <x:v>0</x:v>
      </x:c>
      <x:c r="N84" s="14" t="str">
        <x:v>预告一圈空心炮区，中心和圈外都能躲。</x:v>
      </x:c>
      <x:c r="O84" s="14" t="str">
        <x:v>结晶</x:v>
      </x:c>
      <x:c r="P84" s="14" t="str"/>
      <x:c r="Q84" s="14" t="str">
        <x:v>结晶</x:v>
      </x:c>
      <x:c r="R84" s="14" t="str">
        <x:v>远程</x:v>
      </x:c>
      <x:c r="S84" s="14" t="str">
        <x:v>物理</x:v>
      </x:c>
      <x:c r="T84" s="14" t="str">
        <x:v>投射物</x:v>
      </x:c>
      <x:c r="U84" s="28" t="n">
        <x:v>0</x:v>
      </x:c>
      <x:c r="V84" s="28" t="n">
        <x:v>5</x:v>
      </x:c>
      <x:c r="W84" s="14" t="str">
        <x:v>ranged_damage / heavy</x:v>
      </x:c>
      <x:c r="X84" s="14" t="str">
        <x:v>{"primary":"投射物","fallback_melee":"攻击"}</x:v>
      </x:c>
    </x:row>
    <x:row r="85" ht="42" customHeight="1">
      <x:c r="A85" s="16" t="str">
        <x:v>MON_N080</x:v>
      </x:c>
      <x:c r="B85" s="16" t="str">
        <x:v>双点蓄炮者</x:v>
      </x:c>
      <x:c r="C85" s="16" t="str">
        <x:v>普通</x:v>
      </x:c>
      <x:c r="D85" s="16" t="str">
        <x:v>蓄势炮击</x:v>
      </x:c>
      <x:c r="E85" s="23" t="n">
        <x:v>20</x:v>
      </x:c>
      <x:c r="F85" s="23" t="n">
        <x:v>3</x:v>
      </x:c>
      <x:c r="G85" s="23" t="n">
        <x:v>86</x:v>
      </x:c>
      <x:c r="H85" s="23" t="n">
        <x:v>12</x:v>
      </x:c>
      <x:c r="I85" s="23" t="n">
        <x:v>0</x:v>
      </x:c>
      <x:c r="J85" s="23" t="n">
        <x:v>0</x:v>
      </x:c>
      <x:c r="K85" s="27" t="n">
        <x:v>1.25</x:v>
      </x:c>
      <x:c r="L85" s="27" t="n">
        <x:v>5.5</x:v>
      </x:c>
      <x:c r="M85" s="23" t="n">
        <x:v>0</x:v>
      </x:c>
      <x:c r="N85" s="16" t="str">
        <x:v>两发炮弹分回合落在提前标出的两个位置。</x:v>
      </x:c>
      <x:c r="O85" s="16" t="str">
        <x:v>结晶骑士</x:v>
      </x:c>
      <x:c r="P85" s="16" t="str"/>
      <x:c r="Q85" s="16" t="str">
        <x:v>结晶</x:v>
      </x:c>
      <x:c r="R85" s="16" t="str">
        <x:v>远程</x:v>
      </x:c>
      <x:c r="S85" s="16" t="str">
        <x:v>物理</x:v>
      </x:c>
      <x:c r="T85" s="16" t="str">
        <x:v>投射物</x:v>
      </x:c>
      <x:c r="U85" s="27" t="n">
        <x:v>0</x:v>
      </x:c>
      <x:c r="V85" s="27" t="n">
        <x:v>5</x:v>
      </x:c>
      <x:c r="W85" s="16" t="str">
        <x:v>ranged_damage / heavy</x:v>
      </x:c>
      <x:c r="X85" s="16" t="str">
        <x:v>{"primary":"投射物","fallback_melee":"攻击"}</x:v>
      </x:c>
    </x:row>
    <x:row r="86" ht="31.5" customHeight="1">
      <x:c r="A86" s="14" t="str">
        <x:v>MON_E001</x:v>
      </x:c>
      <x:c r="B86" s="14" t="str">
        <x:v>折路追刃王</x:v>
      </x:c>
      <x:c r="C86" s="14" t="str">
        <x:v>精英</x:v>
      </x:c>
      <x:c r="D86" s="14" t="str">
        <x:v>追击近战</x:v>
      </x:c>
      <x:c r="E86" s="24" t="n">
        <x:v>3</x:v>
      </x:c>
      <x:c r="F86" s="24" t="n">
        <x:v>3</x:v>
      </x:c>
      <x:c r="G86" s="24" t="n">
        <x:v>45</x:v>
      </x:c>
      <x:c r="H86" s="24" t="n">
        <x:v>6</x:v>
      </x:c>
      <x:c r="I86" s="24" t="n">
        <x:v>0</x:v>
      </x:c>
      <x:c r="J86" s="24" t="n">
        <x:v>0</x:v>
      </x:c>
      <x:c r="K86" s="28" t="n">
        <x:v>1</x:v>
      </x:c>
      <x:c r="L86" s="28" t="n">
        <x:v>2</x:v>
      </x:c>
      <x:c r="M86" s="24" t="n">
        <x:v>0</x:v>
      </x:c>
      <x:c r="N86" s="14" t="str">
        <x:v>会沿显示的折线路径追来，但折角与终点都提前确定。</x:v>
      </x:c>
      <x:c r="O86" s="14" t="str">
        <x:v>眼球</x:v>
      </x:c>
      <x:c r="P86" s="14" t="str">
        <x:v>MON_N001</x:v>
      </x:c>
      <x:c r="Q86" s="14" t="str">
        <x:v>血肉</x:v>
      </x:c>
      <x:c r="R86" s="14" t="str">
        <x:v>前排</x:v>
      </x:c>
      <x:c r="S86" s="14" t="str">
        <x:v>物理</x:v>
      </x:c>
      <x:c r="T86" s="14" t="str">
        <x:v>攻击</x:v>
      </x:c>
      <x:c r="U86" s="28" t="n">
        <x:v>1.5</x:v>
      </x:c>
      <x:c r="V86" s="28" t="n">
        <x:v>0.75</x:v>
      </x:c>
      <x:c r="W86" s="14" t="str">
        <x:v>frontline</x:v>
      </x:c>
      <x:c r="X86" s="14" t="str">
        <x:v>{"primary":"攻击","fallback_melee":"攻击"}</x:v>
      </x:c>
    </x:row>
    <x:row r="87" ht="31.5" customHeight="1">
      <x:c r="A87" s="16" t="str">
        <x:v>MON_E002</x:v>
      </x:c>
      <x:c r="B87" s="16" t="str">
        <x:v>归轨蛮牛王</x:v>
      </x:c>
      <x:c r="C87" s="16" t="str">
        <x:v>精英</x:v>
      </x:c>
      <x:c r="D87" s="16" t="str">
        <x:v>预告冲锋</x:v>
      </x:c>
      <x:c r="E87" s="23" t="n">
        <x:v>4</x:v>
      </x:c>
      <x:c r="F87" s="23" t="n">
        <x:v>3</x:v>
      </x:c>
      <x:c r="G87" s="23" t="n">
        <x:v>55</x:v>
      </x:c>
      <x:c r="H87" s="23" t="n">
        <x:v>8</x:v>
      </x:c>
      <x:c r="I87" s="23" t="n">
        <x:v>0</x:v>
      </x:c>
      <x:c r="J87" s="23" t="n">
        <x:v>0</x:v>
      </x:c>
      <x:c r="K87" s="27" t="n">
        <x:v>1</x:v>
      </x:c>
      <x:c r="L87" s="27" t="n">
        <x:v>2.5</x:v>
      </x:c>
      <x:c r="M87" s="23" t="n">
        <x:v>0</x:v>
      </x:c>
      <x:c r="N87" s="16" t="str">
        <x:v>第一次冲过后会沿旧路线再冲回来。</x:v>
      </x:c>
      <x:c r="O87" s="16" t="str">
        <x:v>大肠团</x:v>
      </x:c>
      <x:c r="P87" s="16" t="str">
        <x:v>MON_N005</x:v>
      </x:c>
      <x:c r="Q87" s="16" t="str">
        <x:v>血肉</x:v>
      </x:c>
      <x:c r="R87" s="16" t="str">
        <x:v>前排</x:v>
      </x:c>
      <x:c r="S87" s="16" t="str">
        <x:v>物理</x:v>
      </x:c>
      <x:c r="T87" s="16" t="str">
        <x:v>攻击</x:v>
      </x:c>
      <x:c r="U87" s="27" t="n">
        <x:v>2</x:v>
      </x:c>
      <x:c r="V87" s="27" t="n">
        <x:v>2</x:v>
      </x:c>
      <x:c r="W87" s="16" t="str">
        <x:v>frontline</x:v>
      </x:c>
      <x:c r="X87" s="16" t="str">
        <x:v>{"primary":"攻击","fallback_melee":"攻击"}</x:v>
      </x:c>
    </x:row>
    <x:row r="88" ht="31.5" customHeight="1">
      <x:c r="A88" s="14" t="str">
        <x:v>MON_E003</x:v>
      </x:c>
      <x:c r="B88" s="14" t="str">
        <x:v>复响定锤王</x:v>
      </x:c>
      <x:c r="C88" s="14" t="str">
        <x:v>精英</x:v>
      </x:c>
      <x:c r="D88" s="14" t="str">
        <x:v>定域重击</x:v>
      </x:c>
      <x:c r="E88" s="24" t="n">
        <x:v>5</x:v>
      </x:c>
      <x:c r="F88" s="24" t="n">
        <x:v>3</x:v>
      </x:c>
      <x:c r="G88" s="24" t="n">
        <x:v>80</x:v>
      </x:c>
      <x:c r="H88" s="24" t="n">
        <x:v>10</x:v>
      </x:c>
      <x:c r="I88" s="24" t="n">
        <x:v>0</x:v>
      </x:c>
      <x:c r="J88" s="24" t="n">
        <x:v>0</x:v>
      </x:c>
      <x:c r="K88" s="28" t="n">
        <x:v>1.5</x:v>
      </x:c>
      <x:c r="L88" s="28" t="n">
        <x:v>3.5</x:v>
      </x:c>
      <x:c r="M88" s="24" t="n">
        <x:v>0</x:v>
      </x:c>
      <x:c r="N88" s="14" t="str">
        <x:v>同一处地面会被重锤和一次回声先后击中。</x:v>
      </x:c>
      <x:c r="O88" s="14" t="str">
        <x:v>重生傀儡</x:v>
      </x:c>
      <x:c r="P88" s="14" t="str">
        <x:v>MON_N009</x:v>
      </x:c>
      <x:c r="Q88" s="14" t="str">
        <x:v>血肉</x:v>
      </x:c>
      <x:c r="R88" s="14" t="str">
        <x:v>前排</x:v>
      </x:c>
      <x:c r="S88" s="14" t="str">
        <x:v>物理</x:v>
      </x:c>
      <x:c r="T88" s="14" t="str">
        <x:v>攻击</x:v>
      </x:c>
      <x:c r="U88" s="28" t="n">
        <x:v>0</x:v>
      </x:c>
      <x:c r="V88" s="28" t="n">
        <x:v>1.25</x:v>
      </x:c>
      <x:c r="W88" s="14" t="str">
        <x:v>frontline / heavy</x:v>
      </x:c>
      <x:c r="X88" s="14" t="str">
        <x:v>{"primary":"攻击","fallback_melee":"攻击"}</x:v>
      </x:c>
    </x:row>
    <x:row r="89" ht="42" customHeight="1">
      <x:c r="A89" s="16" t="str">
        <x:v>MON_E004</x:v>
      </x:c>
      <x:c r="B89" s="16" t="str">
        <x:v>十字目枪王</x:v>
      </x:c>
      <x:c r="C89" s="16" t="str">
        <x:v>精英</x:v>
      </x:c>
      <x:c r="D89" s="16" t="str">
        <x:v>直线射击</x:v>
      </x:c>
      <x:c r="E89" s="23" t="n">
        <x:v>4</x:v>
      </x:c>
      <x:c r="F89" s="23" t="n">
        <x:v>3</x:v>
      </x:c>
      <x:c r="G89" s="23" t="n">
        <x:v>35</x:v>
      </x:c>
      <x:c r="H89" s="23" t="n">
        <x:v>7</x:v>
      </x:c>
      <x:c r="I89" s="23" t="n">
        <x:v>0</x:v>
      </x:c>
      <x:c r="J89" s="23" t="n">
        <x:v>0</x:v>
      </x:c>
      <x:c r="K89" s="27" t="n">
        <x:v>1</x:v>
      </x:c>
      <x:c r="L89" s="27" t="n">
        <x:v>2</x:v>
      </x:c>
      <x:c r="M89" s="23" t="n">
        <x:v>0</x:v>
      </x:c>
      <x:c r="N89" s="16" t="str">
        <x:v>会同时打出十字形两束射线，四个斜角可避开。</x:v>
      </x:c>
      <x:c r="O89" s="16" t="str">
        <x:v>眼球</x:v>
      </x:c>
      <x:c r="P89" s="16" t="str">
        <x:v>MON_N013</x:v>
      </x:c>
      <x:c r="Q89" s="16" t="str">
        <x:v>血肉</x:v>
      </x:c>
      <x:c r="R89" s="16" t="str">
        <x:v>远程</x:v>
      </x:c>
      <x:c r="S89" s="16" t="str">
        <x:v>物理</x:v>
      </x:c>
      <x:c r="T89" s="16" t="str">
        <x:v>投射物</x:v>
      </x:c>
      <x:c r="U89" s="27" t="n">
        <x:v>0</x:v>
      </x:c>
      <x:c r="V89" s="27" t="n">
        <x:v>4</x:v>
      </x:c>
      <x:c r="W89" s="16" t="str">
        <x:v>ranged_damage</x:v>
      </x:c>
      <x:c r="X89" s="16" t="str">
        <x:v>{"primary":"投射物","fallback_melee":"攻击"}</x:v>
      </x:c>
    </x:row>
    <x:row r="90" ht="42" customHeight="1">
      <x:c r="A90" s="14" t="str">
        <x:v>MON_E005</x:v>
      </x:c>
      <x:c r="B90" s="14" t="str">
        <x:v>裂口吐息王</x:v>
      </x:c>
      <x:c r="C90" s="14" t="str">
        <x:v>精英</x:v>
      </x:c>
      <x:c r="D90" s="14" t="str">
        <x:v>扇形射击</x:v>
      </x:c>
      <x:c r="E90" s="24" t="n">
        <x:v>6</x:v>
      </x:c>
      <x:c r="F90" s="24" t="n">
        <x:v>3</x:v>
      </x:c>
      <x:c r="G90" s="24" t="n">
        <x:v>45</x:v>
      </x:c>
      <x:c r="H90" s="24" t="n">
        <x:v>7</x:v>
      </x:c>
      <x:c r="I90" s="24" t="n">
        <x:v>0</x:v>
      </x:c>
      <x:c r="J90" s="24" t="n">
        <x:v>0</x:v>
      </x:c>
      <x:c r="K90" s="28" t="n">
        <x:v>1</x:v>
      </x:c>
      <x:c r="L90" s="28" t="n">
        <x:v>2.5</x:v>
      </x:c>
      <x:c r="M90" s="24" t="n">
        <x:v>0</x:v>
      </x:c>
      <x:c r="N90" s="14" t="str">
        <x:v>正面扇区中央留一道明确安全缺口。</x:v>
      </x:c>
      <x:c r="O90" s="14" t="str">
        <x:v>火球精</x:v>
      </x:c>
      <x:c r="P90" s="14" t="str">
        <x:v>MON_N017</x:v>
      </x:c>
      <x:c r="Q90" s="14" t="str">
        <x:v>幽魂</x:v>
      </x:c>
      <x:c r="R90" s="14" t="str">
        <x:v>远程</x:v>
      </x:c>
      <x:c r="S90" s="14" t="str">
        <x:v>物理</x:v>
      </x:c>
      <x:c r="T90" s="14" t="str">
        <x:v>投射物</x:v>
      </x:c>
      <x:c r="U90" s="28" t="n">
        <x:v>0</x:v>
      </x:c>
      <x:c r="V90" s="28" t="n">
        <x:v>2.5</x:v>
      </x:c>
      <x:c r="W90" s="14" t="str">
        <x:v>ranged_damage</x:v>
      </x:c>
      <x:c r="X90" s="14" t="str">
        <x:v>{"primary":"投射物","fallback_melee":"攻击"}</x:v>
      </x:c>
    </x:row>
    <x:row r="91" ht="42" customHeight="1">
      <x:c r="A91" s="16" t="str">
        <x:v>MON_E006</x:v>
      </x:c>
      <x:c r="B91" s="16" t="str">
        <x:v>分岔囊炮王</x:v>
      </x:c>
      <x:c r="C91" s="16" t="str">
        <x:v>精英</x:v>
      </x:c>
      <x:c r="D91" s="16" t="str">
        <x:v>定点投弹</x:v>
      </x:c>
      <x:c r="E91" s="23" t="n">
        <x:v>7</x:v>
      </x:c>
      <x:c r="F91" s="23" t="n">
        <x:v>3</x:v>
      </x:c>
      <x:c r="G91" s="23" t="n">
        <x:v>40</x:v>
      </x:c>
      <x:c r="H91" s="23" t="n">
        <x:v>10</x:v>
      </x:c>
      <x:c r="I91" s="23" t="n">
        <x:v>0</x:v>
      </x:c>
      <x:c r="J91" s="23" t="n">
        <x:v>0</x:v>
      </x:c>
      <x:c r="K91" s="27" t="n">
        <x:v>1</x:v>
      </x:c>
      <x:c r="L91" s="27" t="n">
        <x:v>3</x:v>
      </x:c>
      <x:c r="M91" s="23" t="n">
        <x:v>0</x:v>
      </x:c>
      <x:c r="N91" s="16" t="str">
        <x:v>朝目标两侧各投一颗炮弹，中间留下通道。</x:v>
      </x:c>
      <x:c r="O91" s="16" t="str">
        <x:v>眼球包</x:v>
      </x:c>
      <x:c r="P91" s="16" t="str">
        <x:v>MON_N021</x:v>
      </x:c>
      <x:c r="Q91" s="16" t="str">
        <x:v>血肉</x:v>
      </x:c>
      <x:c r="R91" s="16" t="str">
        <x:v>远程</x:v>
      </x:c>
      <x:c r="S91" s="16" t="str">
        <x:v>爆炸</x:v>
      </x:c>
      <x:c r="T91" s="16" t="str">
        <x:v>投射物</x:v>
      </x:c>
      <x:c r="U91" s="27" t="n">
        <x:v>0</x:v>
      </x:c>
      <x:c r="V91" s="27" t="n">
        <x:v>4</x:v>
      </x:c>
      <x:c r="W91" s="16" t="str">
        <x:v>ranged_damage</x:v>
      </x:c>
      <x:c r="X91" s="16" t="str">
        <x:v>{"primary":"投射物","fallback_melee":"攻击"}</x:v>
      </x:c>
    </x:row>
    <x:row r="92" ht="31.5" customHeight="1">
      <x:c r="A92" s="14" t="str">
        <x:v>MON_E007</x:v>
      </x:c>
      <x:c r="B92" s="14" t="str">
        <x:v>空环震王</x:v>
      </x:c>
      <x:c r="C92" s="14" t="str">
        <x:v>精英</x:v>
      </x:c>
      <x:c r="D92" s="14" t="str">
        <x:v>环形冲击</x:v>
      </x:c>
      <x:c r="E92" s="24" t="n">
        <x:v>8</x:v>
      </x:c>
      <x:c r="F92" s="24" t="n">
        <x:v>3</x:v>
      </x:c>
      <x:c r="G92" s="24" t="n">
        <x:v>50</x:v>
      </x:c>
      <x:c r="H92" s="24" t="n">
        <x:v>8</x:v>
      </x:c>
      <x:c r="I92" s="24" t="n">
        <x:v>0</x:v>
      </x:c>
      <x:c r="J92" s="24" t="n">
        <x:v>0</x:v>
      </x:c>
      <x:c r="K92" s="28" t="n">
        <x:v>1</x:v>
      </x:c>
      <x:c r="L92" s="28" t="n">
        <x:v>3</x:v>
      </x:c>
      <x:c r="M92" s="24" t="n">
        <x:v>0</x:v>
      </x:c>
      <x:c r="N92" s="14" t="str">
        <x:v>脚边很近的圆心反而安全，危险的是外围空心环。</x:v>
      </x:c>
      <x:c r="O92" s="14" t="str">
        <x:v>水母脑</x:v>
      </x:c>
      <x:c r="P92" s="14" t="str">
        <x:v>MON_N025</x:v>
      </x:c>
      <x:c r="Q92" s="14" t="str">
        <x:v>幽魂</x:v>
      </x:c>
      <x:c r="R92" s="14" t="str">
        <x:v>控制</x:v>
      </x:c>
      <x:c r="S92" s="14" t="str">
        <x:v>物理</x:v>
      </x:c>
      <x:c r="T92" s="14" t="str">
        <x:v>攻击</x:v>
      </x:c>
      <x:c r="U92" s="28" t="n">
        <x:v>0.5</x:v>
      </x:c>
      <x:c r="V92" s="28" t="n">
        <x:v>1.25</x:v>
      </x:c>
      <x:c r="W92" s="14" t="str">
        <x:v>heavy / controller</x:v>
      </x:c>
      <x:c r="X92" s="14" t="str">
        <x:v>{"primary":"攻击","fallback_melee":"攻击"}</x:v>
      </x:c>
    </x:row>
    <x:row r="93" ht="31.5" customHeight="1">
      <x:c r="A93" s="16" t="str">
        <x:v>MON_E008</x:v>
      </x:c>
      <x:c r="B93" s="16" t="str">
        <x:v>双序余痕王</x:v>
      </x:c>
      <x:c r="C93" s="16" t="str">
        <x:v>精英</x:v>
      </x:c>
      <x:c r="D93" s="16" t="str">
        <x:v>地面余波</x:v>
      </x:c>
      <x:c r="E93" s="23" t="n">
        <x:v>9</x:v>
      </x:c>
      <x:c r="F93" s="23" t="n">
        <x:v>3</x:v>
      </x:c>
      <x:c r="G93" s="23" t="n">
        <x:v>45</x:v>
      </x:c>
      <x:c r="H93" s="23" t="n">
        <x:v>8</x:v>
      </x:c>
      <x:c r="I93" s="23" t="n">
        <x:v>0</x:v>
      </x:c>
      <x:c r="J93" s="23" t="n">
        <x:v>0</x:v>
      </x:c>
      <x:c r="K93" s="27" t="n">
        <x:v>1</x:v>
      </x:c>
      <x:c r="L93" s="27" t="n">
        <x:v>3</x:v>
      </x:c>
      <x:c r="M93" s="23" t="n">
        <x:v>0</x:v>
      </x:c>
      <x:c r="N93" s="16" t="str">
        <x:v>两处地痕按顺序亮起、爆发，走位需要换边。</x:v>
      </x:c>
      <x:c r="O93" s="16" t="str">
        <x:v>结晶</x:v>
      </x:c>
      <x:c r="P93" s="16" t="str">
        <x:v>MON_N029</x:v>
      </x:c>
      <x:c r="Q93" s="16" t="str">
        <x:v>结晶</x:v>
      </x:c>
      <x:c r="R93" s="16" t="str">
        <x:v>控制</x:v>
      </x:c>
      <x:c r="S93" s="16" t="str">
        <x:v>物理</x:v>
      </x:c>
      <x:c r="T93" s="16" t="str">
        <x:v>环境</x:v>
      </x:c>
      <x:c r="U93" s="27" t="n">
        <x:v>1</x:v>
      </x:c>
      <x:c r="V93" s="27" t="n">
        <x:v>3</x:v>
      </x:c>
      <x:c r="W93" s="16" t="str">
        <x:v>ranged_damage / controller</x:v>
      </x:c>
      <x:c r="X93" s="16" t="str">
        <x:v>{"primary":"环境","fallback_melee":"攻击"}</x:v>
      </x:c>
    </x:row>
    <x:row r="94" ht="31.5" customHeight="1">
      <x:c r="A94" s="14" t="str">
        <x:v>MON_E009</x:v>
      </x:c>
      <x:c r="B94" s="14" t="str">
        <x:v>转楔盾王</x:v>
      </x:c>
      <x:c r="C94" s="14" t="str">
        <x:v>精英</x:v>
      </x:c>
      <x:c r="D94" s="14" t="str">
        <x:v>正面防御</x:v>
      </x:c>
      <x:c r="E94" s="24" t="n">
        <x:v>5</x:v>
      </x:c>
      <x:c r="F94" s="24" t="n">
        <x:v>3</x:v>
      </x:c>
      <x:c r="G94" s="24" t="n">
        <x:v>65</x:v>
      </x:c>
      <x:c r="H94" s="24" t="n">
        <x:v>6</x:v>
      </x:c>
      <x:c r="I94" s="24" t="n">
        <x:v>0</x:v>
      </x:c>
      <x:c r="J94" s="24" t="n">
        <x:v>0</x:v>
      </x:c>
      <x:c r="K94" s="28" t="n">
        <x:v>1</x:v>
      </x:c>
      <x:c r="L94" s="28" t="n">
        <x:v>3</x:v>
      </x:c>
      <x:c r="M94" s="24" t="n">
        <x:v>0</x:v>
      </x:c>
      <x:c r="N94" s="14" t="str">
        <x:v>盾面每轮固定转向，安全侧背会跟着换位置。</x:v>
      </x:c>
      <x:c r="O94" s="14" t="str">
        <x:v>结晶骑士</x:v>
      </x:c>
      <x:c r="P94" s="14" t="str">
        <x:v>MON_N033</x:v>
      </x:c>
      <x:c r="Q94" s="14" t="str">
        <x:v>结晶</x:v>
      </x:c>
      <x:c r="R94" s="14" t="str">
        <x:v>前排</x:v>
      </x:c>
      <x:c r="S94" s="14" t="str">
        <x:v>物理</x:v>
      </x:c>
      <x:c r="T94" s="14" t="str">
        <x:v>攻击</x:v>
      </x:c>
      <x:c r="U94" s="28" t="n">
        <x:v>0.5</x:v>
      </x:c>
      <x:c r="V94" s="28" t="n">
        <x:v>1</x:v>
      </x:c>
      <x:c r="W94" s="14" t="str">
        <x:v>frontline</x:v>
      </x:c>
      <x:c r="X94" s="14" t="str">
        <x:v>{"primary":"攻击","fallback_melee":"攻击"}</x:v>
      </x:c>
    </x:row>
    <x:row r="95" ht="31.5" customHeight="1">
      <x:c r="A95" s="16" t="str">
        <x:v>MON_E010</x:v>
      </x:c>
      <x:c r="B95" s="16" t="str">
        <x:v>破壳枪卫王</x:v>
      </x:c>
      <x:c r="C95" s="16" t="str">
        <x:v>精英</x:v>
      </x:c>
      <x:c r="D95" s="16" t="str">
        <x:v>开合姿态</x:v>
      </x:c>
      <x:c r="E95" s="23" t="n">
        <x:v>6</x:v>
      </x:c>
      <x:c r="F95" s="23" t="n">
        <x:v>3</x:v>
      </x:c>
      <x:c r="G95" s="23" t="n">
        <x:v>80</x:v>
      </x:c>
      <x:c r="H95" s="23" t="n">
        <x:v>8</x:v>
      </x:c>
      <x:c r="I95" s="23" t="n">
        <x:v>0</x:v>
      </x:c>
      <x:c r="J95" s="23" t="n">
        <x:v>0</x:v>
      </x:c>
      <x:c r="K95" s="27" t="n">
        <x:v>1</x:v>
      </x:c>
      <x:c r="L95" s="27" t="n">
        <x:v>3.5</x:v>
      </x:c>
      <x:c r="M95" s="23" t="n">
        <x:v>0</x:v>
      </x:c>
      <x:c r="N95" s="16" t="str">
        <x:v>开壳时会向早已标明的两格刺线出击。</x:v>
      </x:c>
      <x:c r="O95" s="16" t="str">
        <x:v>眼球包</x:v>
      </x:c>
      <x:c r="P95" s="16" t="str">
        <x:v>MON_N037</x:v>
      </x:c>
      <x:c r="Q95" s="16" t="str">
        <x:v>血肉</x:v>
      </x:c>
      <x:c r="R95" s="16" t="str">
        <x:v>前排</x:v>
      </x:c>
      <x:c r="S95" s="16" t="str">
        <x:v>物理</x:v>
      </x:c>
      <x:c r="T95" s="16" t="str">
        <x:v>攻击</x:v>
      </x:c>
      <x:c r="U95" s="27" t="n">
        <x:v>0</x:v>
      </x:c>
      <x:c r="V95" s="27" t="n">
        <x:v>2</x:v>
      </x:c>
      <x:c r="W95" s="16" t="str">
        <x:v>frontline</x:v>
      </x:c>
      <x:c r="X95" s="16" t="str">
        <x:v>{"primary":"攻击","fallback_melee":"攻击"}</x:v>
      </x:c>
    </x:row>
    <x:row r="96" ht="42" customHeight="1">
      <x:c r="A96" s="14" t="str">
        <x:v>MON_E011</x:v>
      </x:c>
      <x:c r="B96" s="14" t="str">
        <x:v>分流缝血主母</x:v>
      </x:c>
      <x:c r="C96" s="14" t="str">
        <x:v>精英</x:v>
      </x:c>
      <x:c r="D96" s="14" t="str">
        <x:v>治疗同伴</x:v>
      </x:c>
      <x:c r="E96" s="24" t="n">
        <x:v>5</x:v>
      </x:c>
      <x:c r="F96" s="24" t="n">
        <x:v>3</x:v>
      </x:c>
      <x:c r="G96" s="24" t="n">
        <x:v>42</x:v>
      </x:c>
      <x:c r="H96" s="24" t="n">
        <x:v>4</x:v>
      </x:c>
      <x:c r="I96" s="24" t="n">
        <x:v>10</x:v>
      </x:c>
      <x:c r="J96" s="24" t="n">
        <x:v>0</x:v>
      </x:c>
      <x:c r="K96" s="28" t="n">
        <x:v>0</x:v>
      </x:c>
      <x:c r="L96" s="28" t="n">
        <x:v>3</x:v>
      </x:c>
      <x:c r="M96" s="24" t="n">
        <x:v>0</x:v>
      </x:c>
      <x:c r="N96" s="14" t="str">
        <x:v>一份治疗会分给两个提前标记的同伴，击杀其中一个就能浪费那一半。</x:v>
      </x:c>
      <x:c r="O96" s="14" t="str">
        <x:v>水母脑</x:v>
      </x:c>
      <x:c r="P96" s="14" t="str">
        <x:v>MON_N041</x:v>
      </x:c>
      <x:c r="Q96" s="14" t="str">
        <x:v>血肉</x:v>
      </x:c>
      <x:c r="R96" s="14" t="str">
        <x:v>支援</x:v>
      </x:c>
      <x:c r="S96" s="14" t="str">
        <x:v>物理</x:v>
      </x:c>
      <x:c r="T96" s="14" t="str">
        <x:v>主动</x:v>
      </x:c>
      <x:c r="U96" s="28" t="n">
        <x:v>1</x:v>
      </x:c>
      <x:c r="V96" s="28" t="n">
        <x:v>3</x:v>
      </x:c>
      <x:c r="W96" s="14" t="str"/>
      <x:c r="X96" s="14" t="str">
        <x:v>{"primary":"主动","fallback_melee":"攻击"}</x:v>
      </x:c>
    </x:row>
    <x:row r="97" ht="42" customHeight="1">
      <x:c r="A97" s="16" t="str">
        <x:v>MON_E012</x:v>
      </x:c>
      <x:c r="B97" s="16" t="str">
        <x:v>回潮授甲王</x:v>
      </x:c>
      <x:c r="C97" s="16" t="str">
        <x:v>精英</x:v>
      </x:c>
      <x:c r="D97" s="16" t="str">
        <x:v>强固支援</x:v>
      </x:c>
      <x:c r="E97" s="23" t="n">
        <x:v>7</x:v>
      </x:c>
      <x:c r="F97" s="23" t="n">
        <x:v>3</x:v>
      </x:c>
      <x:c r="G97" s="23" t="n">
        <x:v>48</x:v>
      </x:c>
      <x:c r="H97" s="23" t="n">
        <x:v>4</x:v>
      </x:c>
      <x:c r="I97" s="23" t="n">
        <x:v>0</x:v>
      </x:c>
      <x:c r="J97" s="23" t="n">
        <x:v>12</x:v>
      </x:c>
      <x:c r="K97" s="27" t="n">
        <x:v>0</x:v>
      </x:c>
      <x:c r="L97" s="27" t="n">
        <x:v>3.5</x:v>
      </x:c>
      <x:c r="M97" s="23" t="n">
        <x:v>0</x:v>
      </x:c>
      <x:c r="N97" s="16" t="str">
        <x:v>同一位同伴会分两次拿到强固，第二次到来前还有机会打断来源。</x:v>
      </x:c>
      <x:c r="O97" s="16" t="str">
        <x:v>结晶簇</x:v>
      </x:c>
      <x:c r="P97" s="16" t="str">
        <x:v>MON_N045</x:v>
      </x:c>
      <x:c r="Q97" s="16" t="str">
        <x:v>结晶</x:v>
      </x:c>
      <x:c r="R97" s="16" t="str">
        <x:v>支援</x:v>
      </x:c>
      <x:c r="S97" s="16" t="str">
        <x:v>物理</x:v>
      </x:c>
      <x:c r="T97" s="16" t="str">
        <x:v>主动</x:v>
      </x:c>
      <x:c r="U97" s="27" t="n">
        <x:v>1</x:v>
      </x:c>
      <x:c r="V97" s="27" t="n">
        <x:v>3</x:v>
      </x:c>
      <x:c r="W97" s="16" t="str"/>
      <x:c r="X97" s="16" t="str">
        <x:v>{"primary":"主动","fallback_melee":"攻击"}</x:v>
      </x:c>
    </x:row>
    <x:row r="98" ht="31.5" customHeight="1">
      <x:c r="A98" s="14" t="str">
        <x:v>MON_E013</x:v>
      </x:c>
      <x:c r="B98" s="14" t="str">
        <x:v>接力号令官</x:v>
      </x:c>
      <x:c r="C98" s="14" t="str">
        <x:v>精英</x:v>
      </x:c>
      <x:c r="D98" s="14" t="str">
        <x:v>号令增伤</x:v>
      </x:c>
      <x:c r="E98" s="24" t="n">
        <x:v>8</x:v>
      </x:c>
      <x:c r="F98" s="24" t="n">
        <x:v>3</x:v>
      </x:c>
      <x:c r="G98" s="24" t="n">
        <x:v>42</x:v>
      </x:c>
      <x:c r="H98" s="24" t="n">
        <x:v>4</x:v>
      </x:c>
      <x:c r="I98" s="24" t="n">
        <x:v>0</x:v>
      </x:c>
      <x:c r="J98" s="24" t="n">
        <x:v>0</x:v>
      </x:c>
      <x:c r="K98" s="28" t="n">
        <x:v>0</x:v>
      </x:c>
      <x:c r="L98" s="28" t="n">
        <x:v>3.5</x:v>
      </x:c>
      <x:c r="M98" s="24" t="n">
        <x:v>0</x:v>
      </x:c>
      <x:c r="N98" s="14" t="str">
        <x:v>攻击加成会沿两位提前指明的同伴逐轮转移。</x:v>
      </x:c>
      <x:c r="O98" s="14" t="str">
        <x:v>章鱼脑</x:v>
      </x:c>
      <x:c r="P98" s="14" t="str">
        <x:v>MON_N049</x:v>
      </x:c>
      <x:c r="Q98" s="14" t="str">
        <x:v>血肉</x:v>
      </x:c>
      <x:c r="R98" s="14" t="str">
        <x:v>支援</x:v>
      </x:c>
      <x:c r="S98" s="14" t="str">
        <x:v>物理</x:v>
      </x:c>
      <x:c r="T98" s="14" t="str">
        <x:v>主动</x:v>
      </x:c>
      <x:c r="U98" s="28" t="n">
        <x:v>1</x:v>
      </x:c>
      <x:c r="V98" s="28" t="n">
        <x:v>3</x:v>
      </x:c>
      <x:c r="W98" s="14" t="str"/>
      <x:c r="X98" s="14" t="str">
        <x:v>{"primary":"主动","fallback_melee":"攻击"}</x:v>
      </x:c>
    </x:row>
    <x:row r="99" ht="31.5" customHeight="1">
      <x:c r="A99" s="16" t="str">
        <x:v>MON_E014</x:v>
      </x:c>
      <x:c r="B99" s="16" t="str">
        <x:v>错孵双卵王</x:v>
      </x:c>
      <x:c r="C99" s="16" t="str">
        <x:v>精英</x:v>
      </x:c>
      <x:c r="D99" s="16" t="str">
        <x:v>孵化召唤</x:v>
      </x:c>
      <x:c r="E99" s="23" t="n">
        <x:v>9</x:v>
      </x:c>
      <x:c r="F99" s="23" t="n">
        <x:v>3</x:v>
      </x:c>
      <x:c r="G99" s="23" t="n">
        <x:v>58</x:v>
      </x:c>
      <x:c r="H99" s="23" t="n">
        <x:v>4</x:v>
      </x:c>
      <x:c r="I99" s="23" t="n">
        <x:v>0</x:v>
      </x:c>
      <x:c r="J99" s="23" t="n">
        <x:v>0</x:v>
      </x:c>
      <x:c r="K99" s="27" t="n">
        <x:v>0</x:v>
      </x:c>
      <x:c r="L99" s="27" t="n">
        <x:v>4.5</x:v>
      </x:c>
      <x:c r="M99" s="23" t="n">
        <x:v>2</x:v>
      </x:c>
      <x:c r="N99" s="16" t="str">
        <x:v>两个后代在两轮依次出现，第二个出生点始终可见。</x:v>
      </x:c>
      <x:c r="O99" s="16" t="str">
        <x:v>大肠血卵</x:v>
      </x:c>
      <x:c r="P99" s="16" t="str">
        <x:v>MON_N053</x:v>
      </x:c>
      <x:c r="Q99" s="16" t="str">
        <x:v>血肉</x:v>
      </x:c>
      <x:c r="R99" s="16" t="str">
        <x:v>繁衍</x:v>
      </x:c>
      <x:c r="S99" s="16" t="str">
        <x:v>物理</x:v>
      </x:c>
      <x:c r="T99" s="16" t="str">
        <x:v>主动</x:v>
      </x:c>
      <x:c r="U99" s="27" t="n">
        <x:v>0.5</x:v>
      </x:c>
      <x:c r="V99" s="27" t="n">
        <x:v>1</x:v>
      </x:c>
      <x:c r="W99" s="16" t="str"/>
      <x:c r="X99" s="16" t="str">
        <x:v>{"primary":"主动","fallback_melee":"攻击"}</x:v>
      </x:c>
    </x:row>
    <x:row r="100" ht="42" customHeight="1">
      <x:c r="A100" s="14" t="str">
        <x:v>MON_E015</x:v>
      </x:c>
      <x:c r="B100" s="14" t="str">
        <x:v>断后裂球王</x:v>
      </x:c>
      <x:c r="C100" s="14" t="str">
        <x:v>精英</x:v>
      </x:c>
      <x:c r="D100" s="14" t="str">
        <x:v>一代分裂</x:v>
      </x:c>
      <x:c r="E100" s="24" t="n">
        <x:v>10</x:v>
      </x:c>
      <x:c r="F100" s="24" t="n">
        <x:v>3</x:v>
      </x:c>
      <x:c r="G100" s="24" t="n">
        <x:v>48</x:v>
      </x:c>
      <x:c r="H100" s="24" t="n">
        <x:v>6</x:v>
      </x:c>
      <x:c r="I100" s="24" t="n">
        <x:v>0</x:v>
      </x:c>
      <x:c r="J100" s="24" t="n">
        <x:v>0</x:v>
      </x:c>
      <x:c r="K100" s="28" t="n">
        <x:v>1</x:v>
      </x:c>
      <x:c r="L100" s="28" t="n">
        <x:v>4</x:v>
      </x:c>
      <x:c r="M100" s="24" t="n">
        <x:v>2</x:v>
      </x:c>
      <x:c r="N100" s="14" t="str">
        <x:v>死亡后原地留下一个明确倒计时的爆点，不能马上贴着尸体收尾。</x:v>
      </x:c>
      <x:c r="O100" s="14" t="str">
        <x:v>眼球包</x:v>
      </x:c>
      <x:c r="P100" s="14" t="str">
        <x:v>MON_N057</x:v>
      </x:c>
      <x:c r="Q100" s="14" t="str">
        <x:v>血肉</x:v>
      </x:c>
      <x:c r="R100" s="14" t="str">
        <x:v>繁衍</x:v>
      </x:c>
      <x:c r="S100" s="14" t="str">
        <x:v>物理</x:v>
      </x:c>
      <x:c r="T100" s="14" t="str">
        <x:v>攻击</x:v>
      </x:c>
      <x:c r="U100" s="28" t="n">
        <x:v>1</x:v>
      </x:c>
      <x:c r="V100" s="28" t="n">
        <x:v>1</x:v>
      </x:c>
      <x:c r="W100" s="14" t="str">
        <x:v>frontline</x:v>
      </x:c>
      <x:c r="X100" s="14" t="str">
        <x:v>{"primary":"攻击","fallback_melee":"攻击"}</x:v>
      </x:c>
    </x:row>
    <x:row r="101" ht="42" customHeight="1">
      <x:c r="A101" s="16" t="str">
        <x:v>MON_E016</x:v>
      </x:c>
      <x:c r="B101" s="16" t="str">
        <x:v>迁骸傀儡王</x:v>
      </x:c>
      <x:c r="C101" s="16" t="str">
        <x:v>精英</x:v>
      </x:c>
      <x:c r="D101" s="16" t="str">
        <x:v>一次复生</x:v>
      </x:c>
      <x:c r="E101" s="23" t="n">
        <x:v>11</x:v>
      </x:c>
      <x:c r="F101" s="23" t="n">
        <x:v>3</x:v>
      </x:c>
      <x:c r="G101" s="23" t="n">
        <x:v>66</x:v>
      </x:c>
      <x:c r="H101" s="23" t="n">
        <x:v>7</x:v>
      </x:c>
      <x:c r="I101" s="23" t="n">
        <x:v>0</x:v>
      </x:c>
      <x:c r="J101" s="23" t="n">
        <x:v>0</x:v>
      </x:c>
      <x:c r="K101" s="27" t="n">
        <x:v>1</x:v>
      </x:c>
      <x:c r="L101" s="27" t="n">
        <x:v>4</x:v>
      </x:c>
      <x:c r="M101" s="23" t="n">
        <x:v>1</x:v>
      </x:c>
      <x:c r="N101" s="16" t="str">
        <x:v>残骸会沿一条短路径缓慢移动，必须追上拆毁才能阻止复生。</x:v>
      </x:c>
      <x:c r="O101" s="16" t="str">
        <x:v>重生傀儡</x:v>
      </x:c>
      <x:c r="P101" s="16" t="str">
        <x:v>MON_N061</x:v>
      </x:c>
      <x:c r="Q101" s="16" t="str">
        <x:v>幽魂</x:v>
      </x:c>
      <x:c r="R101" s="16" t="str">
        <x:v>繁衍</x:v>
      </x:c>
      <x:c r="S101" s="16" t="str">
        <x:v>物理</x:v>
      </x:c>
      <x:c r="T101" s="16" t="str">
        <x:v>攻击</x:v>
      </x:c>
      <x:c r="U101" s="27" t="n">
        <x:v>1</x:v>
      </x:c>
      <x:c r="V101" s="27" t="n">
        <x:v>1</x:v>
      </x:c>
      <x:c r="W101" s="16" t="str">
        <x:v>frontline</x:v>
      </x:c>
      <x:c r="X101" s="16" t="str">
        <x:v>{"primary":"攻击","fallback_melee":"攻击"}</x:v>
      </x:c>
    </x:row>
    <x:row r="102" ht="31.5" customHeight="1">
      <x:c r="A102" s="14" t="str">
        <x:v>MON_E017</x:v>
      </x:c>
      <x:c r="B102" s="14" t="str">
        <x:v>双迁幽灯王</x:v>
      </x:c>
      <x:c r="C102" s="14" t="str">
        <x:v>精英</x:v>
      </x:c>
      <x:c r="D102" s="14" t="str">
        <x:v>预告瞬移</x:v>
      </x:c>
      <x:c r="E102" s="24" t="n">
        <x:v>10</x:v>
      </x:c>
      <x:c r="F102" s="24" t="n">
        <x:v>3</x:v>
      </x:c>
      <x:c r="G102" s="24" t="n">
        <x:v>38</x:v>
      </x:c>
      <x:c r="H102" s="24" t="n">
        <x:v>6</x:v>
      </x:c>
      <x:c r="I102" s="24" t="n">
        <x:v>0</x:v>
      </x:c>
      <x:c r="J102" s="24" t="n">
        <x:v>0</x:v>
      </x:c>
      <x:c r="K102" s="28" t="n">
        <x:v>1</x:v>
      </x:c>
      <x:c r="L102" s="28" t="n">
        <x:v>3.5</x:v>
      </x:c>
      <x:c r="M102" s="24" t="n">
        <x:v>0</x:v>
      </x:c>
      <x:c r="N102" s="14" t="str">
        <x:v>会按两处已公开的落点连续换位，两次之间都能被击中。</x:v>
      </x:c>
      <x:c r="O102" s="14" t="str">
        <x:v>齐刘海</x:v>
      </x:c>
      <x:c r="P102" s="14" t="str">
        <x:v>MON_N065</x:v>
      </x:c>
      <x:c r="Q102" s="14" t="str">
        <x:v>幽魂</x:v>
      </x:c>
      <x:c r="R102" s="14" t="str">
        <x:v>控制</x:v>
      </x:c>
      <x:c r="S102" s="14" t="str">
        <x:v>物理</x:v>
      </x:c>
      <x:c r="T102" s="14" t="str">
        <x:v>攻击</x:v>
      </x:c>
      <x:c r="U102" s="28" t="n">
        <x:v>1</x:v>
      </x:c>
      <x:c r="V102" s="28" t="n">
        <x:v>2</x:v>
      </x:c>
      <x:c r="W102" s="14" t="str">
        <x:v>controller</x:v>
      </x:c>
      <x:c r="X102" s="14" t="str">
        <x:v>{"primary":"攻击","fallback_melee":"攻击"}</x:v>
      </x:c>
    </x:row>
    <x:row r="103" ht="42" customHeight="1">
      <x:c r="A103" s="16" t="str">
        <x:v>MON_E018</x:v>
      </x:c>
      <x:c r="B103" s="16" t="str">
        <x:v>回拨牵线王</x:v>
      </x:c>
      <x:c r="C103" s="16" t="str">
        <x:v>精英</x:v>
      </x:c>
      <x:c r="D103" s="16" t="str">
        <x:v>牵引位移</x:v>
      </x:c>
      <x:c r="E103" s="23" t="n">
        <x:v>12</x:v>
      </x:c>
      <x:c r="F103" s="23" t="n">
        <x:v>3</x:v>
      </x:c>
      <x:c r="G103" s="23" t="n">
        <x:v>44</x:v>
      </x:c>
      <x:c r="H103" s="23" t="n">
        <x:v>5</x:v>
      </x:c>
      <x:c r="I103" s="23" t="n">
        <x:v>0</x:v>
      </x:c>
      <x:c r="J103" s="23" t="n">
        <x:v>0</x:v>
      </x:c>
      <x:c r="K103" s="27" t="n">
        <x:v>0</x:v>
      </x:c>
      <x:c r="L103" s="27" t="n">
        <x:v>4</x:v>
      </x:c>
      <x:c r="M103" s="23" t="n">
        <x:v>0</x:v>
      </x:c>
      <x:c r="N103" s="16" t="str">
        <x:v>拉中后会再预告一次反向推开，但位移阶段本身没有伤害。</x:v>
      </x:c>
      <x:c r="O103" s="16" t="str">
        <x:v>章鱼脑</x:v>
      </x:c>
      <x:c r="P103" s="16" t="str">
        <x:v>MON_N069</x:v>
      </x:c>
      <x:c r="Q103" s="16" t="str">
        <x:v>血肉</x:v>
      </x:c>
      <x:c r="R103" s="16" t="str">
        <x:v>控制</x:v>
      </x:c>
      <x:c r="S103" s="16" t="str">
        <x:v>抓钩</x:v>
      </x:c>
      <x:c r="T103" s="16" t="str">
        <x:v>主动</x:v>
      </x:c>
      <x:c r="U103" s="27" t="n">
        <x:v>0.5</x:v>
      </x:c>
      <x:c r="V103" s="27" t="n">
        <x:v>3</x:v>
      </x:c>
      <x:c r="W103" s="16" t="str">
        <x:v>controller</x:v>
      </x:c>
      <x:c r="X103" s="16" t="str">
        <x:v>{"primary":"主动","fallback_melee":"攻击"}</x:v>
      </x:c>
    </x:row>
    <x:row r="104" ht="42" customHeight="1">
      <x:c r="A104" s="14" t="str">
        <x:v>MON_E019</x:v>
      </x:c>
      <x:c r="B104" s="14" t="str">
        <x:v>双锁垒墙王</x:v>
      </x:c>
      <x:c r="C104" s="14" t="str">
        <x:v>精英</x:v>
      </x:c>
      <x:c r="D104" s="14" t="str">
        <x:v>可拆路障</x:v>
      </x:c>
      <x:c r="E104" s="24" t="n">
        <x:v>13</x:v>
      </x:c>
      <x:c r="F104" s="24" t="n">
        <x:v>3</x:v>
      </x:c>
      <x:c r="G104" s="24" t="n">
        <x:v>58</x:v>
      </x:c>
      <x:c r="H104" s="24" t="n">
        <x:v>4</x:v>
      </x:c>
      <x:c r="I104" s="24" t="n">
        <x:v>0</x:v>
      </x:c>
      <x:c r="J104" s="24" t="n">
        <x:v>0</x:v>
      </x:c>
      <x:c r="K104" s="28" t="n">
        <x:v>0</x:v>
      </x:c>
      <x:c r="L104" s="28" t="n">
        <x:v>4.5</x:v>
      </x:c>
      <x:c r="M104" s="24" t="n">
        <x:v>2</x:v>
      </x:c>
      <x:c r="N104" s="14" t="str">
        <x:v>两面短墙成组相连，拆掉任意一面就会让另一面同时坍塌。</x:v>
      </x:c>
      <x:c r="O104" s="14" t="str">
        <x:v>结晶簇</x:v>
      </x:c>
      <x:c r="P104" s="14" t="str">
        <x:v>MON_N073</x:v>
      </x:c>
      <x:c r="Q104" s="14" t="str">
        <x:v>结晶</x:v>
      </x:c>
      <x:c r="R104" s="14" t="str">
        <x:v>控制</x:v>
      </x:c>
      <x:c r="S104" s="14" t="str">
        <x:v>物理</x:v>
      </x:c>
      <x:c r="T104" s="14" t="str">
        <x:v>主动</x:v>
      </x:c>
      <x:c r="U104" s="28" t="n">
        <x:v>0.5</x:v>
      </x:c>
      <x:c r="V104" s="28" t="n">
        <x:v>3</x:v>
      </x:c>
      <x:c r="W104" s="14" t="str">
        <x:v>controller</x:v>
      </x:c>
      <x:c r="X104" s="14" t="str">
        <x:v>{"primary":"主动","fallback_melee":"攻击"}</x:v>
      </x:c>
    </x:row>
    <x:row r="105" ht="42" customHeight="1">
      <x:c r="A105" s="17" t="str">
        <x:v>MON_E020</x:v>
      </x:c>
      <x:c r="B105" s="17" t="str">
        <x:v>复线蓄炮王</x:v>
      </x:c>
      <x:c r="C105" s="17" t="str">
        <x:v>精英</x:v>
      </x:c>
      <x:c r="D105" s="17" t="str">
        <x:v>蓄势炮击</x:v>
      </x:c>
      <x:c r="E105" s="25" t="n">
        <x:v>14</x:v>
      </x:c>
      <x:c r="F105" s="25" t="n">
        <x:v>3</x:v>
      </x:c>
      <x:c r="G105" s="25" t="n">
        <x:v>84</x:v>
      </x:c>
      <x:c r="H105" s="25" t="n">
        <x:v>12</x:v>
      </x:c>
      <x:c r="I105" s="25" t="n">
        <x:v>0</x:v>
      </x:c>
      <x:c r="J105" s="25" t="n">
        <x:v>0</x:v>
      </x:c>
      <x:c r="K105" s="29" t="n">
        <x:v>1.8</x:v>
      </x:c>
      <x:c r="L105" s="29" t="n">
        <x:v>5</x:v>
      </x:c>
      <x:c r="M105" s="25" t="n">
        <x:v>0</x:v>
      </x:c>
      <x:c r="N105" s="17" t="str">
        <x:v>重炮后会再沿原线开一炮，第二炮前仍有完整预警。</x:v>
      </x:c>
      <x:c r="O105" s="17" t="str">
        <x:v>结晶簇</x:v>
      </x:c>
      <x:c r="P105" s="17" t="str">
        <x:v>MON_N077</x:v>
      </x:c>
      <x:c r="Q105" s="17" t="str">
        <x:v>结晶</x:v>
      </x:c>
      <x:c r="R105" s="17" t="str">
        <x:v>远程</x:v>
      </x:c>
      <x:c r="S105" s="17" t="str">
        <x:v>物理</x:v>
      </x:c>
      <x:c r="T105" s="17" t="str">
        <x:v>投射物</x:v>
      </x:c>
      <x:c r="U105" s="29" t="n">
        <x:v>0</x:v>
      </x:c>
      <x:c r="V105" s="29" t="n">
        <x:v>5</x:v>
      </x:c>
      <x:c r="W105" s="17" t="str">
        <x:v>ranged_damage / heavy</x:v>
      </x:c>
      <x:c r="X105" s="17" t="str">
        <x:v>{"primary":"投射物","fallback_melee":"攻击"}</x:v>
      </x:c>
    </x:row>
  </x:sheetData>
  <x:conditionalFormatting sqref="C6:C105">
    <x:cfRule type="containsText" dxfId="0" priority="1" operator="containsText" text="精英"/>
  </x:conditionalFormatting>
  <x:pageMargins left="0.7" right="0.7" top="0.75" bottom="0.75" header="0.3" footer="0.3"/>
  <x:tableParts count="1">
    <x:tablePart xmlns:r="http://schemas.openxmlformats.org/officeDocument/2006/relationships" r:id="Rbeec0613bcd9495b"/>
  </x:tableParts>
</x:worksheet>
</file>

<file path=xl/worksheets/sheet2.xml><?xml version="1.0" encoding="utf-8"?>
<x:worksheet xmlns:x="http://schemas.openxmlformats.org/spreadsheetml/2006/main">
  <x:sheetPr>
    <x:tabColor rgb="FF4D6078"/>
  </x:sheetPr>
  <x:sheetViews>
    <x:sheetView showGridLines="0" workbookViewId="0">
      <x:pane xSplit="2" ySplit="5" topLeftCell="C6" activePane="bottomRight" state="frozen"/>
    </x:sheetView>
  </x:sheetViews>
  <x:sheetFormatPr defaultRowHeight="15"/>
  <x:cols>
    <x:col min="1" max="1" width="12.4399995803833" hidden="0" customWidth="1"/>
    <x:col min="2" max="2" width="16.110000610351562" hidden="0" customWidth="1"/>
    <x:col min="3" max="3" width="41.11000061035156" hidden="0" customWidth="1"/>
    <x:col min="4" max="4" width="68.88999938964844" hidden="0" customWidth="1"/>
    <x:col min="5" max="5" width="56.66999816894531" hidden="0" customWidth="1"/>
    <x:col min="6" max="6" width="48.88999938964844" hidden="0" customWidth="1"/>
    <x:col min="7" max="7" width="40" hidden="0" customWidth="1"/>
    <x:col min="8" max="8" width="61.11000061035156" hidden="0" customWidth="1"/>
    <x:col min="9" max="9" width="72.22000122070312" hidden="0" customWidth="1"/>
    <x:col min="10" max="10" width="38.88999938964844" hidden="0" customWidth="1"/>
  </x:cols>
  <x:sheetData>
    <x:row r="1" ht="9" customHeight="1">
      <x:c r="A1" s="3"/>
      <x:c r="B1" s="3"/>
      <x:c r="C1" s="3"/>
      <x:c r="D1" s="3"/>
      <x:c r="E1" s="3"/>
      <x:c r="F1" s="3"/>
      <x:c r="G1" s="3"/>
      <x:c r="H1" s="3"/>
      <x:c r="I1" s="3"/>
      <x:c r="J1" s="3"/>
    </x:row>
    <x:row r="2" ht="24" customHeight="1">
      <x:c r="A2" s="4" t="str">
        <x:v>攻击循环、反制与逐条验收</x:v>
      </x:c>
      <x:c r="B2" s="3"/>
      <x:c r="C2" s="3"/>
      <x:c r="D2" s="3"/>
      <x:c r="E2" s="3"/>
      <x:c r="F2" s="3"/>
      <x:c r="G2" s="3"/>
      <x:c r="H2" s="3"/>
      <x:c r="I2" s="3"/>
      <x:c r="J2" s="3"/>
    </x:row>
    <x:row r="3" ht="21" customHeight="1">
      <x:c r="A3" s="5" t="str">
        <x:v>cycle仅描述生前循环；死亡或阈值事件单独列出且只触发一次。范围单位为房间大格（256世界单位），不是新实体属性。</x:v>
      </x:c>
      <x:c r="B3" s="3"/>
      <x:c r="C3" s="3"/>
      <x:c r="D3" s="3"/>
      <x:c r="E3" s="3"/>
      <x:c r="F3" s="3"/>
      <x:c r="G3" s="3"/>
      <x:c r="H3" s="3"/>
      <x:c r="I3" s="3"/>
      <x:c r="J3" s="3"/>
    </x:row>
    <x:row r="4">
      <x:c r="A4" s="6"/>
      <x:c r="B4" s="6"/>
      <x:c r="C4" s="6"/>
      <x:c r="D4" s="6"/>
      <x:c r="E4" s="6"/>
      <x:c r="F4" s="6"/>
      <x:c r="G4" s="6"/>
      <x:c r="H4" s="6"/>
      <x:c r="I4" s="6"/>
      <x:c r="J4" s="6"/>
    </x:row>
    <x:row r="5" ht="36" customHeight="1">
      <x:c r="A5" s="10" t="str">
        <x:v>编号</x:v>
      </x:c>
      <x:c r="B5" s="10" t="str">
        <x:v>怪物名称</x:v>
      </x:c>
      <x:c r="C5" s="10" t="str">
        <x:v>同族机制差异</x:v>
      </x:c>
      <x:c r="D5" s="10" t="str">
        <x:v>动作循环与事件分支</x:v>
      </x:c>
      <x:c r="E5" s="10" t="str">
        <x:v>目标与锁定</x:v>
      </x:c>
      <x:c r="F5" s="10" t="str">
        <x:v>行为参数</x:v>
      </x:c>
      <x:c r="G5" s="10" t="str">
        <x:v>玩家反制</x:v>
      </x:c>
      <x:c r="H5" s="10" t="str">
        <x:v>边界、禁配与风险</x:v>
      </x:c>
      <x:c r="I5" s="10" t="str">
        <x:v>实施任务与验收场景</x:v>
      </x:c>
      <x:c r="J5" s="10" t="str">
        <x:v>数值取舍</x:v>
      </x:c>
    </x:row>
    <x:row r="6" ht="102" customHeight="1">
      <x:c r="A6" s="13" t="str">
        <x:v>MON_N001</x:v>
      </x:c>
      <x:c r="B6" s="13" t="str">
        <x:v>追刃尸</x:v>
      </x:c>
      <x:c r="C6" s="13" t="str">
        <x:v>本族基线：先移动后攻击；不后撤、不绕侧、不攻击旧位置。</x:v>
      </x:c>
      <x:c r="D6" s="13" t="str">
        <x:v>1. move_melee 1回合：发射前显示最多1.5格的锁定路径及终点0.75格攻击圈；敌方阶段先移动到可到达终点，再只对该圈作一次近击。</x:v>
      </x:c>
      <x:c r="E6" s="13" t="str">
        <x:v>以预告时英雄位置为唯一追击点；等长合法路线按路点坐标字典序选择，实体阻挡并列按instanceId处理。
本玩家回合输入开放前冻结计划路线、攻击朝向、中心和目标点；需要完整预告的动作按cycle等待。玩家发射后不追瞄、不因最终停点改方案。固体阻挡导致原计划不可执行时停止或取消，不瞬移改点。</x:v>
      </x:c>
      <x:c r="F6" s="13" t="str">
        <x:v>attack_radius_tiles = 0.75
route_tie_break = waypoint_xy_then_instance_id</x:v>
      </x:c>
      <x:c r="G6" s="13" t="str">
        <x:v>用基础碰撞先打它，并把最终停点留在亮圈外；墙体截断路径时利用其停步位置。</x:v>
      </x:c>
      <x:c r="H6" s="13" t="str">
        <x:v>移动总路程最多1.5格，攻击圈半径0.75格；路点相同按坐标、阻挡实例按ID稳定排序；路径被挡则停下且不扩大攻击圈。 每敌方阶段最多1次伤害动作；同一动作多图形命中只取最高一次伤害；移动接触不追加未预告伤害；死亡取消未执行动作。
硬禁配：按全局约束
组合风险：多只追刃尸的预告终点不得把英雄所有可达停点包满。；整段敌方响应合并后仍须有实际弹射可达且有角度余量的安全终点，不能只逐怪检查安全区。</x:v>
      </x:c>
      <x:c r="I6" s="13" t="str">
        <x:v>接入真实寻路/扫掠移动、终点近战距离校验和计划快照；近战预览不得使用另一套简化位移。 新AI编排、预告与真实消费者连接均待实现；source_visual_row只作外观复用候选，不继承原行Boss标签或未指定技能，不代表已有独立美术。
验收：固定敌人和墙位置生成计划后，把英雄实际停点分别放在终点圈内及圈外：前者只1次伤害动作，后者0次；两次执行的锁定路径相同。</x:v>
      </x:c>
      <x:c r="J6" s="13" t="str">
        <x:v>以45HP/6基础伤害追击与30HP/5快怪作为项目测试参照；绕侧、处理顺序差异不附送额外攻击，较灵活者降低血量。 均为新设计测试值，不是源敌人原值。</x:v>
      </x:c>
    </x:row>
    <x:row r="7" ht="117" customHeight="1">
      <x:c r="A7" s="16" t="str">
        <x:v>MON_N002</x:v>
      </x:c>
      <x:c r="B7" s="16" t="str">
        <x:v>退距血蛆</x:v>
      </x:c>
      <x:c r="C7" s="16" t="str">
        <x:v>在预告时已近身则本轮只后撤不攻击；与N001始终先接近后攻击不同。</x:v>
      </x:c>
      <x:c r="D7" s="16" t="str">
        <x:v>1. move_melee 1回合：发射前显示分支：近身则后撤最多0.75格且本轮不攻击；否则追击最多2格，并在预告终点0.6格内咬击一次。</x:v>
      </x:c>
      <x:c r="E7" s="16" t="str">
        <x:v>读取预告时英雄与自身距离；在0.6格内锁定背离英雄的后撤点，否则锁定追击路径；等价落点按坐标再instanceId。
本玩家回合输入开放前冻结计划路线、攻击朝向、中心和目标点；需要完整预告的动作按cycle等待。玩家发射后不追瞄、不因最终停点改方案。固体阻挡导致原计划不可执行时停止或取消，不瞬移改点。</x:v>
      </x:c>
      <x:c r="F7" s="16" t="str">
        <x:v>close_threshold_tiles = 0.6
retreat_tiles = 0.75
retreat_branch_attacks = false</x:v>
      </x:c>
      <x:c r="G7" s="16" t="str">
        <x:v>可以停近逼它下一轮后撤，也可在其追击分支撞击后离开终点圈。</x:v>
      </x:c>
      <x:c r="H7" s="16" t="str">
        <x:v>0.6格是分支及近击阈值；后撤上限0.75格、追击上限2格；被墙堵住的后撤原地结束，不临时改为攻击。 每敌方阶段最多1次伤害动作；同一动作多图形命中只取最高一次伤害；移动接触不追加未预告伤害；死亡取消未执行动作。
硬禁配：按全局约束
组合风险：不能与多只追击者组成持续无退路围堵；后撤不得把自身挤入不可碰撞区域。；整段敌方响应合并后仍须有实际弹射可达且有角度余量的安全终点，不能只逐怪检查安全区。</x:v>
      </x:c>
      <x:c r="I7" s="16" t="str">
        <x:v>分支、后撤终点与攻击资格必须在输入开放前保存；不增加逃跑速度或恐惧属性。 新AI编排、预告与真实消费者连接均待实现；source_visual_row只作外观复用候选，不继承原行Boss标签或未指定技能，不代表已有独立美术。
验收：预告时英雄在0.5格内，之后无论英雄停到何处，本轮都只有后撤且无咬击；预告时在1格外时才可进入追击分支。</x:v>
      </x:c>
      <x:c r="J7" s="16" t="str">
        <x:v>以45HP/6基础伤害追击与30HP/5快怪作为项目测试参照；绕侧、处理顺序差异不附送额外攻击，较灵活者降低血量。 均为新设计测试值，不是源敌人原值。</x:v>
      </x:c>
    </x:row>
    <x:row r="8" ht="102" customHeight="1">
      <x:c r="A8" s="14" t="str">
        <x:v>MON_N003</x:v>
      </x:c>
      <x:c r="B8" s="14" t="str">
        <x:v>游弧猎卒</x:v>
      </x:c>
      <x:c r="C8" s="14" t="str">
        <x:v>锁定侧翼路点而不是最短直追；左右轮替改变下次安全落点。</x:v>
      </x:c>
      <x:c r="D8" s="14" t="str">
        <x:v>1. move_melee 1回合：本周期显示左侧翼路径，最多移动1.5格后近击一次；下周期显示右侧翼路径，顺序持续轮替。</x:v>
      </x:c>
      <x:c r="E8" s="14" t="str">
        <x:v>以预告时英雄位置及敌我连线构造左右各1格侧翼候选；本周期指定侧优先，非法时停步，不发射后换侧；同位冲突按instanceId。
本玩家回合输入开放前冻结计划路线、攻击朝向、中心和目标点；需要完整预告的动作按cycle等待。玩家发射后不追瞄、不因最终停点改方案。固体阻挡导致原计划不可执行时停止或取消，不瞬移改点。</x:v>
      </x:c>
      <x:c r="F8" s="14" t="str">
        <x:v>flank_offset_tiles = 1
flank_order = ["left","right"]
attack_radius_tiles = 0.75</x:v>
      </x:c>
      <x:c r="G8" s="14" t="str">
        <x:v>按这轮显示的侧翼终点选择相反侧停点；墙阻断侧翼时可趁停步打基础碰撞。</x:v>
      </x:c>
      <x:c r="H8" s="14" t="str">
        <x:v>侧翼偏移1格，近击半径0.75格；每个敌方阶段只推进一次左右周期；中断后不追加另一路径。 每敌方阶段最多1次伤害动作；同一动作多图形命中只取最高一次伤害；移动接触不追加未预告伤害；死亡取消未执行动作。
硬禁配：按全局约束
组合风险：侧翼与冲锋组合不能从两侧把全部可达终点夹死。；整段敌方响应合并后仍须有实际弹射可达且有角度余量的安全终点，不能只逐怪检查安全区。</x:v>
      </x:c>
      <x:c r="I8" s="14" t="str">
        <x:v>新增可保存的左右阶段索引及侧翼规划；不继承齐刘海原闪现或关闭碰撞逻辑。 新AI编排、预告与真实消费者连接均待实现；source_visual_row只作外观复用候选，不继承原行Boss标签或未指定技能，不代表已有独立美术。
验收：同一初始局面连续两个周期分别显示左右侧翼；第一周期发射后英雄改停右侧，怪物仍执行原左侧计划，不能改为右追。</x:v>
      </x:c>
      <x:c r="J8" s="14" t="str">
        <x:v>以45HP/6基础伤害追击与30HP/5快怪作为项目测试参照；绕侧、处理顺序差异不附送额外攻击，较灵活者降低血量。 均为新设计测试值，不是源敌人原值。</x:v>
      </x:c>
    </x:row>
    <x:row r="9" ht="117" customHeight="1">
      <x:c r="A9" s="16" t="str">
        <x:v>MON_N004</x:v>
      </x:c>
      <x:c r="B9" s="16" t="str">
        <x:v>回身钳客</x:v>
      </x:c>
      <x:c r="C9" s="16" t="str">
        <x:v>明确先攻击旧位置后移动；不会在移动终点追加N001式近击。</x:v>
      </x:c>
      <x:c r="D9" s="16" t="str">
        <x:v>1. move_melee 1回合：显示旧位置0.75格危险圈及后续最多1格路径；敌方阶段先结算旧圈近击，再移动，终点不攻击。</x:v>
      </x:c>
      <x:c r="E9" s="16" t="str">
        <x:v>近击中心固定为本轮输入开放时自身位置；之后的1格移动朝预告时英雄位置规划；等长路线按路点坐标及instanceId稳定排序。
本玩家回合输入开放前冻结计划路线、攻击朝向、中心和目标点；需要完整预告的动作按cycle等待。玩家发射后不追瞄、不因最终停点改方案。固体阻挡导致原计划不可执行时停止或取消，不瞬移改点。</x:v>
      </x:c>
      <x:c r="F9" s="16" t="str">
        <x:v>attack_before_move = true
attack_radius_tiles = 0.75
endpoint_extra_attack = false</x:v>
      </x:c>
      <x:c r="G9" s="16" t="str">
        <x:v>撞过它后离开旧圈；甚至可停到本轮将移动到的位置附近，因为移动终点不追加伤害。</x:v>
      </x:c>
      <x:c r="H9" s="16" t="str">
        <x:v>近击半径0.75格、后续位移最多1格；旧圈检查一次，后续移动无额外攻击且不强推英雄。 每敌方阶段最多1次伤害动作；同一动作多图形命中只取最高一次伤害；移动接触不追加未预告伤害；死亡取消未执行动作。
硬禁配：按全局约束
组合风险：与终点近击怪混编时需同时显示各自行动顺序，不能把两种攻击圈画成同一含义。；整段敌方响应合并后仍须有实际弹射可达且有角度余量的安全终点，不能只逐怪检查安全区。</x:v>
      </x:c>
      <x:c r="I9" s="16" t="str">
        <x:v>把近击与移动顺序写成同一已锁定动作计划；阻挡时停止移动，不回到伤害步骤。 新AI编排、预告与真实消费者连接均待实现；source_visual_row只作外观复用候选，不继承原行Boss标签或未指定技能，不代表已有独立美术。
验收：英雄最终停点在旧圈外却在怪物计划终点0.5格内：本轮不受伤；若停旧圈内则只结算一次，移动后不再次命中。</x:v>
      </x:c>
      <x:c r="J9" s="16" t="str">
        <x:v>以45HP/6基础伤害追击与30HP/5快怪作为项目测试参照；绕侧、处理顺序差异不附送额外攻击，较灵活者降低血量。 均为新设计测试值，不是源敌人原值。</x:v>
      </x:c>
    </x:row>
    <x:row r="10" ht="117" customHeight="1">
      <x:c r="A10" s="14" t="str">
        <x:v>MON_N005</x:v>
      </x:c>
      <x:c r="B10" s="14" t="str">
        <x:v>直冲蛮牛</x:v>
      </x:c>
      <x:c r="C10" s="14" t="str">
        <x:v>朝预告时英雄位置的单段直线冲锋，是本族方向自由但不转弯的基线。</x:v>
      </x:c>
      <x:c r="D10" s="14" t="str">
        <x:v>1. telegraph 1回合：完整展示一玩家回合的2格冲锋带，宽0.65格，本阶段不造成伤害。
2. execute 1回合：沿锁定直道扫掠移动，碰到首个固体停止；只对实际经过的带内英雄判一次伤害。
3. recover 1回合：在冲锋终点恢复一轮，不攻击。</x:v>
      </x:c>
      <x:c r="E10" s="14" t="str">
        <x:v>朝预告时英雄位置锁定一条最长2格直线；只有一名英雄，不使用最近/最远伪区分。
本玩家回合输入开放前冻结计划路线、攻击朝向、中心和目标点；需要完整预告的动作按cycle等待。玩家发射后不追瞄、不因最终停点改方案。固体阻挡导致原计划不可执行时停止或取消，不瞬移改点。</x:v>
      </x:c>
      <x:c r="F10" s="14" t="str">
        <x:v>lane_width_tiles = 0.65
stop_at_first_solid = true</x:v>
      </x:c>
      <x:c r="G10" s="14" t="str">
        <x:v>借墙反弹打侧面，并停在冲锋带外；也可用实墙提前截断冲锋。</x:v>
      </x:c>
      <x:c r="H10" s="14" t="str">
        <x:v>冲锋总长最多2格、带宽0.65格；第一固体停止，穿过英雄不另开第二次伤害动作。 每敌方阶段最多1次伤害动作；同一动作多图形命中只取最高一次伤害；移动接触不追加未预告伤害；死亡取消未执行动作。
硬禁配：按全局约束
组合风险：两条冲锋带不得横竖交叉封住全部合法停点；不能叠加隐形强制位移。；整段敌方响应合并后仍须有实际弹射可达且有角度余量的安全终点，不能只逐怪检查安全区。</x:v>
      </x:c>
      <x:c r="I10" s="14" t="str">
        <x:v>预告带必须由实际扫掠碰撞形状生成，接入真实冲撞消费者并停用旧自动行动叠加。 新AI编排、预告与真实消费者连接均待实现；source_visual_row只作外观复用候选，不继承原行Boss标签或未指定技能，不代表已有独立美术。
验收：在冲锋带中途放实墙，英雄停在墙后原预告延长线上：蛮牛停墙前，墙后英雄不受冲锋伤害。</x:v>
      </x:c>
      <x:c r="J10" s="14" t="str">
        <x:v>冲锋的路径威胁换取完整预告和恢复轮；基础伤害保持8至9、HP45至60，避免高机动再叠重装耐久。 均为新设计测试值，不是源敌人原值。</x:v>
      </x:c>
    </x:row>
    <x:row r="11" ht="102" customHeight="1">
      <x:c r="A11" s="16" t="str">
        <x:v>MON_N006</x:v>
      </x:c>
      <x:c r="B11" s="16" t="str">
        <x:v>横轨冲兽</x:v>
      </x:c>
      <x:c r="C11" s="16" t="str">
        <x:v>冲锋轴固定为房间X轴；英雄纵向偏移不会让它把横轨改成斜线。</x:v>
      </x:c>
      <x:c r="D11" s="16" t="str">
        <x:v>1. telegraph 1回合：完整预告一回合：只画自身所在水平通道、最长2格、宽0.7格。
2. execute 1回合：按锁定正X或负X冲刺，遇固体停止，绝不校正Y追击。
3. recover 1回合：原地恢复一轮。</x:v>
      </x:c>
      <x:c r="E11" s="16" t="str">
        <x:v>以预告时英雄位于自身左或右决定X轴方向，X相同时沿正X；Y坐标保持自身当前值，阻挡并列按instanceId。
本玩家回合输入开放前冻结计划路线、攻击朝向、中心和目标点；需要完整预告的动作按cycle等待。玩家发射后不追瞄、不因最终停点改方案。固体阻挡导致原计划不可执行时停止或取消，不瞬移改点。</x:v>
      </x:c>
      <x:c r="F11" s="16" t="str">
        <x:v>axis = room_x
lane_width_tiles = 0.7
equal_x_direction = positive</x:v>
      </x:c>
      <x:c r="G11" s="16" t="str">
        <x:v>选择通道上方或下方停点；横向长条很危险，但垂直错位能让它扑空。</x:v>
      </x:c>
      <x:c r="H11" s="16" t="str">
        <x:v>X轴指房间坐标而非屏幕像素横向；带宽0.7格；同X时固定正向，不根据发射后的英雄位置翻向。 每敌方阶段最多1次伤害动作；同一动作多图形命中只取最高一次伤害；移动接触不追加未预告伤害；死亡取消未执行动作。
硬禁配：按全局约束
组合风险：窄横走廊里与另一条纵向危险区同队时必须保留可达空档。；整段敌方响应合并后仍须有实际弹射可达且有角度余量的安全终点，不能只逐怪检查安全区。</x:v>
      </x:c>
      <x:c r="I11" s="16" t="str">
        <x:v>新增房间轴约束路径计划与坐标投影；不继承结晶骑士的首领技能。 新AI编排、预告与真实消费者连接均待实现；source_visual_row只作外观复用候选，不继承原行Boss标签或未指定技能，不代表已有独立美术。
验收：英雄预告时在怪物右上方，执行仍沿水平正X；英雄停在右上且离水平带超过0.35格时不得命中。</x:v>
      </x:c>
      <x:c r="J11" s="16" t="str">
        <x:v>冲锋的路径威胁换取完整预告和恢复轮；基础伤害保持8至9、HP45至60，避免高机动再叠重装耐久。 均为新设计测试值，不是源敌人原值。</x:v>
      </x:c>
    </x:row>
    <x:row r="12" ht="117" customHeight="1">
      <x:c r="A12" s="14" t="str">
        <x:v>MON_N007</x:v>
      </x:c>
      <x:c r="B12" s="14" t="str">
        <x:v>折角奔徒</x:v>
      </x:c>
      <x:c r="C12" s="14" t="str">
        <x:v>同一伤害动作含两段身体移动，拐点提前锁定；不是冲到一半再追瞄。</x:v>
      </x:c>
      <x:c r="D12" s="14" t="str">
        <x:v>1. telegraph 1回合：完整预告一回合：显示第一段、90度拐点和第二段，并标明执行先后。
2. execute 1回合：依次执行两段各1格的锁定扫掠；任一段受阻立即终止，不能补路。
3. recover 1回合：在实际停止处恢复一轮。</x:v>
      </x:c>
      <x:c r="E12" s="14" t="str">
        <x:v>朝预告时英雄所在象限构造两条1格加1格的直角路线；选末点更接近该旧位置的一条，同距按拐点坐标与instanceId。
本玩家回合输入开放前冻结计划路线、攻击朝向、中心和目标点；需要完整预告的动作按cycle等待。玩家发射后不追瞄、不因最终停点改方案。固体阻挡导致原计划不可执行时停止或取消，不瞬移改点。</x:v>
      </x:c>
      <x:c r="F12" s="14" t="str">
        <x:v>first_leg_tiles = 1
second_leg_tiles = 1
turn_degrees = 90
lane_width_tiles = 0.6</x:v>
      </x:c>
      <x:c r="G12" s="14" t="str">
        <x:v>不要只躲第一条直线，停到整个L形外；可用拐角前的墙让后半段无法执行。</x:v>
      </x:c>
      <x:c r="H12" s="14" t="str">
        <x:v>总移动最多2格，拐角固定90度，带宽0.6格；两段重叠命中英雄只结算一次最高伤害。 每敌方阶段最多1次伤害动作；同一动作多图形命中只取最高一次伤害；移动接触不追加未预告伤害；死亡取消未执行动作。
硬禁配：按全局约束
组合风险：不能与牵引同时把玩家强行送进第二段；两段及其他怪危险区不能联合封路。；整段敌方响应合并后仍须有实际弹射可达且有角度余量的安全终点，不能只逐怪检查安全区。</x:v>
      </x:c>
      <x:c r="I12" s="14" t="str">
        <x:v>身体路径分段扫掠与单动作命中去重待实现；此条不改变任何投射物转向规则。 新AI编排、预告与真实消费者连接均待实现；source_visual_row只作外观复用候选，不继承原行Boss标签或未指定技能，不代表已有独立美术。
验收：英雄处于拐角重叠处，两个扫掠段都报告碰撞时只记一次伤害；第一段被墙截断时第二段完全不执行。</x:v>
      </x:c>
      <x:c r="J12" s="14" t="str">
        <x:v>冲锋的路径威胁换取完整预告和恢复轮；基础伤害保持8至9、HP45至60，避免高机动再叠重装耐久。 均为新设计测试值，不是源敌人原值。</x:v>
      </x:c>
    </x:row>
    <x:row r="13" ht="117" customHeight="1">
      <x:c r="A13" s="16" t="str">
        <x:v>MON_N008</x:v>
      </x:c>
      <x:c r="B13" s="16" t="str">
        <x:v>退潮冲鳌</x:v>
      </x:c>
      <x:c r="C13" s="16" t="str">
        <x:v>伤害只发生在去程；恢复阶段的原路返回纯移动，与终点久留的其他冲锋变体不同。</x:v>
      </x:c>
      <x:c r="D13" s="16" t="str">
        <x:v>1. telegraph 1回合：完整预告一回合：实色去程为危险区，虚线退程标明无伤。
2. execute 1回合：去程最多2格冲锋，只结算一次伤害，记录实际停止点。
3. recover 1回合：下一敌方阶段沿实际去程无伤退回，最多2格；英雄或固体占位时停下，不强推。</x:v>
      </x:c>
      <x:c r="E13" s="16" t="str">
        <x:v>去程朝预告时英雄位置锁定；同时保存出发点及原路线，退程只按该路线逆序移动，遇新增阻挡停止。
本玩家回合输入开放前冻结计划路线、攻击朝向、中心和目标点；需要完整预告的动作按cycle等待。玩家发射后不追瞄、不因最终停点改方案。固体阻挡导致原计划不可执行时停止或取消，不瞬移改点。</x:v>
      </x:c>
      <x:c r="F13" s="16" t="str">
        <x:v>lane_width_tiles = 0.65
withdrawal_damage_ratio = 0
return_to_recorded_origin = true</x:v>
      </x:c>
      <x:c r="G13" s="16" t="str">
        <x:v>躲开去程，利用它停在前方的一整轮进行基础碰撞；退程不会凭空追加伤害。</x:v>
      </x:c>
      <x:c r="H13" s="16" t="str">
        <x:v>去程带宽0.65格、单程最长2格；退程伤害倍率明确0，只返回实际走过的段，不穿越新障碍。 每敌方阶段最多1次伤害动作；同一动作多图形命中只取最高一次伤害；移动接触不追加未预告伤害；死亡取消未执行动作。
硬禁配：按全局约束
组合风险：不能把虚线无伤返程与精英有伤返程混用视觉；返程不得把英雄挤入其他危险区。；整段敌方响应合并后仍须有实际弹射可达且有角度余量的安全终点，不能只逐怪检查安全区。</x:v>
      </x:c>
      <x:c r="I13" s="16" t="str">
        <x:v>保存去程轨迹与原点；无伤返回禁用接触伤害/反伤回调，只调用受阻移动。 新AI编排、预告与真实消费者连接均待实现；source_visual_row只作外观复用候选，不继承原行Boss标签或未指定技能，不代表已有独立美术。
验收：英雄停在返程线上时，怪物在接触前停止且英雄HP不变；原点被占用时不得瞬移回原点。</x:v>
      </x:c>
      <x:c r="J13" s="16" t="str">
        <x:v>冲锋的路径威胁换取完整预告和恢复轮；基础伤害保持8至9、HP45至60，避免高机动再叠重装耐久。 均为新设计测试值，不是源敌人原值。</x:v>
      </x:c>
    </x:row>
    <x:row r="14" ht="102" customHeight="1">
      <x:c r="A14" s="14" t="str">
        <x:v>MON_N009</x:v>
      </x:c>
      <x:c r="B14" s="14" t="str">
        <x:v>定锤尸</x:v>
      </x:c>
      <x:c r="C14" s="14" t="str">
        <x:v>本族基线为固定本体中心实心圆；没有前向长劈或分阶段第二落点。</x:v>
      </x:c>
      <x:c r="D14" s="14" t="str">
        <x:v>1. telegraph 1回合：抬锤并完整显示半径1.25格实心圆一玩家回合；不移动。
2. execute 1回合：在标记中心执行一次重击。
3. recover 1回合：锤落后恢复一轮，不能攻击或刷新预告。</x:v>
      </x:c>
      <x:c r="E14" s="14" t="str">
        <x:v>中心固定为预告开始时自身位置，不选择英雄新位置；被位移导致本体离开已标中心时取消动作并重新完整预告。
本玩家回合输入开放前冻结计划路线、攻击朝向、中心和目标点；需要完整预告的动作按cycle等待。玩家发射后不追瞄、不因最终停点改方案。固体阻挡导致原计划不可执行时停止或取消，不瞬移改点。</x:v>
      </x:c>
      <x:c r="F14" s="14" t="str">
        <x:v>radius_tiles = 1.25
cancel_if_caster_displaced = true</x:v>
      </x:c>
      <x:c r="G14" s="14" t="str">
        <x:v>撞击后停到圆外，或利用恢复轮靠近持续碰撞；不需要穿透或远程装备。</x:v>
      </x:c>
      <x:c r="H14" s="14" t="str">
        <x:v>半径1.25格、重击倍率1.5；不能在英雄落地后平移圆心；死亡不留下未提示死爆。 每敌方阶段最多1次伤害动作；同一动作多图形命中只取最高一次伤害；移动接触不追加未预告伤害；死亡取消未执行动作。
硬禁配：按全局约束
组合风险：与环形外圈攻击同队时不能形成内外都必中的套圈。；整段敌方响应合并后仍须有实际弹射可达且有角度余量的安全终点，不能只逐怪检查安全区。</x:v>
      </x:c>
      <x:c r="I14" s="14" t="str">
        <x:v>圆形真实命中及重击倍率接入既有基础伤害；重生傀儡仅作外观，不获得复活。 新AI编排、预告与真实消费者连接均待实现；source_visual_row只作外观复用候选，不继承原行Boss标签或未指定技能，不代表已有独立美术。
验收：英雄在预告后转移到圆外，重击保持原中心且不得命中；怪物被移出中心时本次取消而不是带着圆追人。</x:v>
      </x:c>
      <x:c r="J14" s="14" t="str">
        <x:v>以100HP/12基础伤害重击参照做下调；重击倍率提高单次威胁，但用不能追瞄、低机动和完整恢复窗口补偿。 均为新设计测试值，不是源敌人原值。</x:v>
      </x:c>
    </x:row>
    <x:row r="15" ht="102" customHeight="1">
      <x:c r="A15" s="16" t="str">
        <x:v>MON_N010</x:v>
      </x:c>
      <x:c r="B15" s="16" t="str">
        <x:v>前劈石卫</x:v>
      </x:c>
      <x:c r="C15" s="16" t="str">
        <x:v>把N009近圆威胁改为长矩形，左右两侧是主要安全停点。</x:v>
      </x:c>
      <x:c r="D15" s="16" t="str">
        <x:v>1. telegraph 1回合：完整预告一回合长2格、宽0.8格的前劈矩形，身后不在范围内。
2. execute 1回合：沿原轴劈下一次，实墙遮挡后方范围不生效。
3. recover 1回合：恢复一轮。</x:v>
      </x:c>
      <x:c r="E15" s="16" t="str">
        <x:v>以预告时自身到英雄的方向锁定矩形长轴；轴与起点固定，不随英雄最终停点旋转。
本玩家回合输入开放前冻结计划路线、攻击朝向、中心和目标点；需要完整预告的动作按cycle等待。玩家发射后不追瞄、不因最终停点改方案。固体阻挡导致原计划不可执行时停止或取消，不瞬移改点。</x:v>
      </x:c>
      <x:c r="F15" s="16" t="str">
        <x:v>length_tiles = 2
width_tiles = 0.8
front_only = true</x:v>
      </x:c>
      <x:c r="G15" s="16" t="str">
        <x:v>沿侧面反弹，停在矩形侧边或身后；矩形长度长但横向宽度有限。</x:v>
      </x:c>
      <x:c r="H15" s="16" t="str">
        <x:v>矩形长2格宽0.8格，重击倍率1.6；实际伤害需遮挡检查，不隔墙打满整个图形。 每敌方阶段最多1次伤害动作；同一动作多图形命中只取最高一次伤害；移动接触不追加未预告伤害；死亡取消未执行动作。
硬禁配：按全局约束
组合风险：窄走廊里不得再放置覆盖两侧所有出口的封区怪。；整段敌方响应合并后仍须有实际弹射可达且有角度余量的安全终点，不能只逐怪检查安全区。</x:v>
      </x:c>
      <x:c r="I15" s="16" t="str">
        <x:v>定向矩形命中/视线裁剪/固定姿态重击消费者待实现。 新AI编排、预告与真实消费者连接均待实现；source_visual_row只作外观复用候选，不继承原行Boss标签或未指定技能，不代表已有独立美术。
验收：英雄在前劈长度内但横向偏离轴0.5格时不命中；英雄在宽度内且无遮挡时只命中一次。</x:v>
      </x:c>
      <x:c r="J15" s="16" t="str">
        <x:v>以100HP/12基础伤害重击参照做下调；重击倍率提高单次威胁，但用不能追瞄、低机动和完整恢复窗口补偿。 均为新设计测试值，不是源敌人原值。</x:v>
      </x:c>
    </x:row>
    <x:row r="16" ht="102" customHeight="1">
      <x:c r="A16" s="14" t="str">
        <x:v>MON_N011</x:v>
      </x:c>
      <x:c r="B16" s="14" t="str">
        <x:v>十字碎骨者</x:v>
      </x:c>
      <x:c r="C16" s="14" t="str">
        <x:v>同一次重击覆盖十字四臂，不是实心圆；交叉中心也只算一次。</x:v>
      </x:c>
      <x:c r="D16" s="14" t="str">
        <x:v>1. telegraph 1回合：完整显示一回合十字四臂，每臂长1.5格宽0.5格，斜角留空。
2. execute 1回合：四臂作为同一动作执行一次，分别按真实遮挡裁剪。
3. recover 1回合：恢复一轮。</x:v>
      </x:c>
      <x:c r="E16" s="14" t="str">
        <x:v>中心锁定自身预告位置，四臂固定沿房间X/Y轴，不用英雄最终位置旋转十字。
本玩家回合输入开放前冻结计划路线、攻击朝向、中心和目标点；需要完整预告的动作按cycle等待。玩家发射后不追瞄、不因最终停点改方案。固体阻挡导致原计划不可执行时停止或取消，不瞬移改点。</x:v>
      </x:c>
      <x:c r="F16" s="14" t="str">
        <x:v>arm_length_tiles = 1.5
arm_width_tiles = 0.5
arm_count = 4</x:v>
      </x:c>
      <x:c r="G16" s="14" t="str">
        <x:v>弹射终点选在两条臂之间的斜角空区；不要把十字外接圆误认成全伤害圈。</x:v>
      </x:c>
      <x:c r="H16" s="14" t="str">
        <x:v>四臂每臂1.5×0.5格，倍率1.4；交叉重叠不叠伤；不产生持续地裂或第二次伤害。 每敌方阶段最多1次伤害动作；同一动作多图形命中只取最高一次伤害；移动接触不追加未预告伤害；死亡取消未执行动作。
硬禁配：按全局约束
组合风险：与斜向射线混编时需检验四个斜角是否仍有至少一个可达安全区。；整段敌方响应合并后仍须有实际弹射可达且有角度余量的安全终点，不能只逐怪检查安全区。</x:v>
      </x:c>
      <x:c r="I16" s="14" t="str">
        <x:v>多图形单actionId命中去重、十字预告与碰撞一致性待实现。 新AI编排、预告与真实消费者连接均待实现；source_visual_row只作外观复用候选，不继承原行Boss标签或未指定技能，不代表已有独立美术。
验收：英雄停在中心同时被四臂查询命中，只记录一次伤害；停在距轴各0.5格的斜角且不在臂内时0次。</x:v>
      </x:c>
      <x:c r="J16" s="14" t="str">
        <x:v>以100HP/12基础伤害重击参照做下调；重击倍率提高单次威胁，但用不能追瞄、低机动和完整恢复窗口补偿。 均为新设计测试值，不是源敌人原值。</x:v>
      </x:c>
    </x:row>
    <x:row r="17" ht="102" customHeight="1">
      <x:c r="A17" s="16" t="str">
        <x:v>MON_N012</x:v>
      </x:c>
      <x:c r="B17" s="16" t="str">
        <x:v>双位重槌</x:v>
      </x:c>
      <x:c r="C17" s="16" t="str">
        <x:v>两个落点分不同敌方阶段执行，中间必须有完整玩家回合，不把两拍压成无反应连击。</x:v>
      </x:c>
      <x:c r="D17" s="16" t="str">
        <x:v>1. telegraph 1回合：标出前后两个半径0.75格圆，前点亮为下一击，后点标明稍后执行；完整等待一玩家回合。
2. execute 1回合：只执行前点重击。
3. telegraph 1回合：后点保持原位置，完整等待另一玩家回合，前点已无伤害。
4. execute 1回合：只执行后点重击。
5. recover 1回合：恢复一轮再重建下一周期。</x:v>
      </x:c>
      <x:c r="E17" s="16" t="str">
        <x:v>周期开始锁定自身朝向英雄的轴，前后各偏移0.75格为两个落点；两点同时公开，整个周期不重锁。
本玩家回合输入开放前冻结计划路线、攻击朝向、中心和目标点；需要完整预告的动作按cycle等待。玩家发射后不追瞄、不因最终停点改方案。固体阻挡导致原计划不可执行时停止或取消，不瞬移改点。</x:v>
      </x:c>
      <x:c r="F17" s="16" t="str">
        <x:v>point_offsets_tiles = [0.75,-0.75]
impact_radius_tiles = 0.75
impact_order = ["front","back"]</x:v>
      </x:c>
      <x:c r="G17" s="16" t="str">
        <x:v>第一拍后可移进刚打完的区域，或始终停在两圈外；击杀会取消未执行第二拍。</x:v>
      </x:c>
      <x:c r="H17" s="16" t="str">
        <x:v>前后偏移各0.75格、圈半径0.75格，单拍倍率1.25；每拍在独立阶段且仅一次伤害。 每敌方阶段最多1次伤害动作；同一动作多图形命中只取最高一次伤害；移动接触不追加未预告伤害；死亡取消未执行动作。
硬禁配：按全局约束
组合风险：与地面残留组合时不得把刚打完的换位空间立刻变成不可避伤害。；整段敌方响应合并后仍须有实际弹射可达且有角度余量的安全终点，不能只逐怪检查安全区。</x:v>
      </x:c>
      <x:c r="I17" s="16" t="str">
        <x:v>保存双点、当前拍号及完整预告进度；重载不能跳过中间玩家回合。 新AI编排、预告与真实消费者连接均待实现；source_visual_row只作外观复用候选，不继承原行Boss标签或未指定技能，不代表已有独立美术。
验收：第一拍执行后英雄停到前圆内、后圆外：第二拍不伤害；同一敌方阶段不得同时出现两拍伤害事件。</x:v>
      </x:c>
      <x:c r="J17" s="16" t="str">
        <x:v>以100HP/12基础伤害重击参照做下调；重击倍率提高单次威胁，但用不能追瞄、低机动和完整恢复窗口补偿。 均为新设计测试值，不是源敌人原值。</x:v>
      </x:c>
    </x:row>
    <x:row r="18" ht="102" customHeight="1">
      <x:c r="A18" s="14" t="str">
        <x:v>MON_N013</x:v>
      </x:c>
      <x:c r="B18" s="14" t="str">
        <x:v>直目枪哨</x:v>
      </x:c>
      <x:c r="C18" s="14" t="str">
        <x:v>本族基线：单一固定射线，不平移枪位、不改变为房间轴。</x:v>
      </x:c>
      <x:c r="D18" s="14" t="str">
        <x:v>1. telegraph 1回合：完整预告一玩家回合，显示宽0.3格、最长4格射线及第一个遮挡点。
2. execute 1回合：发射一次锁定方向投射，碰固体停止。
3. recover 1回合：恢复一轮。</x:v>
      </x:c>
      <x:c r="E18" s="14" t="str">
        <x:v>从自身位置指向预告时英雄位置；射线最长4格，首个实体/实墙阻挡按真实消费者及稳定instanceId排序。
本玩家回合输入开放前冻结计划路线、攻击朝向、中心和目标点；需要完整预告的动作按cycle等待。玩家发射后不追瞄、不因最终停点改方案。固体阻挡导致原计划不可执行时停止或取消，不瞬移改点。</x:v>
      </x:c>
      <x:c r="F18" s="14" t="str">
        <x:v>ray_width_tiles = 0.3
stop_at_first_solid = true</x:v>
      </x:c>
      <x:c r="G18" s="14" t="str">
        <x:v>向射线侧面停，或利用墙挡；用基础碰撞也能打断它。</x:v>
      </x:c>
      <x:c r="H18" s="14" t="str">
        <x:v>线宽0.3格、长度上限4格；不得发射后转向、反弹或穿墙；投射物只承担本次一个伤害动作。 每敌方阶段最多1次伤害动作；同一动作多图形命中只取最高一次伤害；移动接触不追加未预告伤害；死亡取消未执行动作。
硬禁配：按全局约束
组合风险：远程伤害源总数≤2；与另一枪哨必须保留不重合的可达空隙。；整段敌方响应合并后仍须有实际弹射可达且有角度余量的安全终点，不能只逐怪检查安全区。</x:v>
      </x:c>
      <x:c r="I18" s="14" t="str">
        <x:v>连接真实投射、遮挡和伤害来源；显示射线不能直接当作已命中。 新AI编排、预告与真实消费者连接均待实现；source_visual_row只作外观复用候选，不继承原行Boss标签或未指定技能，不代表已有独立美术。
验收：英雄发射后移出线外，投射方向不变；线中放墙后，墙后英雄不得受伤。</x:v>
      </x:c>
      <x:c r="J18" s="14" t="str">
        <x:v>以36HP/8基础伤害远程参照；长线或双线改变空间覆盖，不额外叠伤，保持低HP且必须先预告。 均为新设计测试值，不是源敌人原值。</x:v>
      </x:c>
    </x:row>
    <x:row r="19" ht="102" customHeight="1">
      <x:c r="A19" s="16" t="str">
        <x:v>MON_N014</x:v>
      </x:c>
      <x:c r="B19" s="16" t="str">
        <x:v>并轨针眼</x:v>
      </x:c>
      <x:c r="C19" s="16" t="str">
        <x:v>单动作两条平移平行线，中心轴反而安全；不是两次射击叠伤。</x:v>
      </x:c>
      <x:c r="D19" s="16" t="str">
        <x:v>1. telegraph 1回合：完整显示一回合两条各宽0.25格的平行线及中间空槽。
2. execute 1回合：两条线属于同一个射击动作，同时按各自真实遮挡发射。
3. recover 1回合：恢复一轮。</x:v>
      </x:c>
      <x:c r="E19" s="16" t="str">
        <x:v>朝预告时英雄位置锁定中心轴，再沿垂直方向偏移正负0.55格形成两条平行线；原点及偏移不重算。
本玩家回合输入开放前冻结计划路线、攻击朝向、中心和目标点；需要完整预告的动作按cycle等待。玩家发射后不追瞄、不因最终停点改方案。固体阻挡导致原计划不可执行时停止或取消，不瞬移改点。</x:v>
      </x:c>
      <x:c r="F19" s="16" t="str">
        <x:v>lane_offsets_tiles = [-0.55,0.55]
ray_width_tiles = 0.25
lane_count = 2</x:v>
      </x:c>
      <x:c r="G19" s="16" t="str">
        <x:v>可停中间空槽或两线外侧；不用强行绕到最远处。</x:v>
      </x:c>
      <x:c r="H19" s="16" t="str">
        <x:v>偏移±0.55格、线宽0.25格、长度4格；两线即使因碰撞体宽度重叠同一英雄也只结算一次。 每敌方阶段最多1次伤害动作；同一动作多图形命中只取最高一次伤害；移动接触不追加未预告伤害；死亡取消未执行动作。
硬禁配：按全局约束
组合风险：不得用另一条射线恰好封住整个中心空槽与两侧所有可达区。；整段敌方响应合并后仍须有实际弹射可达且有角度余量的安全终点，不能只逐怪检查安全区。</x:v>
      </x:c>
      <x:c r="I19" s="16" t="str">
        <x:v>同动作多投射ID归并、平行原点与实际枪口位置待适配。 新AI编排、预告与真实消费者连接均待实现；source_visual_row只作外观复用候选，不继承原行Boss标签或未指定技能，不代表已有独立美术。
验收：英雄中心处在中心轴且身体未触及两线时0伤害；宽体测试同时触两条时仍只生成一次英雄受伤。</x:v>
      </x:c>
      <x:c r="J19" s="16" t="str">
        <x:v>以36HP/8基础伤害远程参照；长线或双线改变空间覆盖，不额外叠伤，保持低HP且必须先预告。 均为新设计测试值，不是源敌人原值。</x:v>
      </x:c>
    </x:row>
    <x:row r="20" ht="117" customHeight="1">
      <x:c r="A20" s="14" t="str">
        <x:v>MON_N015</x:v>
      </x:c>
      <x:c r="B20" s="14" t="str">
        <x:v>横锁晶针</x:v>
      </x:c>
      <x:c r="C20" s="14" t="str">
        <x:v>射击方向受房间X轴约束，纵向错位不会被纠正；与N013对准英雄不同。</x:v>
      </x:c>
      <x:c r="D20" s="14" t="str">
        <x:v>1. telegraph 1回合：完整预告一回合房间水平通道，最长5格、宽0.4格。
2. execute 1回合：沿锁定X方向射击，实墙截断。
3. recover 1回合：恢复一轮。</x:v>
      </x:c>
      <x:c r="E20" s="14" t="str">
        <x:v>只按预告时英雄在左或右选择X方向，X相同固定正X；Y保持自身位置，长度5格。
本玩家回合输入开放前冻结计划路线、攻击朝向、中心和目标点；需要完整预告的动作按cycle等待。玩家发射后不追瞄、不因最终停点改方案。固体阻挡导致原计划不可执行时停止或取消，不瞬移改点。</x:v>
      </x:c>
      <x:c r="F20" s="14" t="str">
        <x:v>axis = room_x
ray_width_tiles = 0.4
equal_x_direction = positive</x:v>
      </x:c>
      <x:c r="G20" s="14" t="str">
        <x:v>纵向错开它的通道；可利用长通道外的空区继续撞击其他敌人。</x:v>
      </x:c>
      <x:c r="H20" s="14" t="str">
        <x:v>房间X轴不跟随镜头旋转；线宽0.4格；不因英雄斜站改变为斜射。 每敌方阶段最多1次伤害动作；同一动作多图形命中只取最高一次伤害；移动接触不追加未预告伤害；死亡取消未执行动作。
硬禁配：按全局约束
组合风险：远程伤害源总数≤2；横通道不能与纵通道组合覆盖全部房间入口和安全停点。；整段敌方响应合并后仍须有实际弹射可达且有角度余量的安全终点，不能只逐怪检查安全区。</x:v>
      </x:c>
      <x:c r="I20" s="14" t="str">
        <x:v>房间坐标到投射方向的固定轴适配、遮挡裁剪待实现。 新AI编排、预告与真实消费者连接均待实现；source_visual_row只作外观复用候选，不继承原行Boss标签或未指定技能，不代表已有独立美术。
验收：英雄位于右上方时射线仍为水平正X；上方纵向偏移超出带宽则不能被横射命中。</x:v>
      </x:c>
      <x:c r="J20" s="14" t="str">
        <x:v>以36HP/8基础伤害远程参照；长线或双线改变空间覆盖，不额外叠伤，保持低HP且必须先预告。 均为新设计测试值，不是源敌人原值。</x:v>
      </x:c>
    </x:row>
    <x:row r="21" ht="117" customHeight="1">
      <x:c r="A21" s="16" t="str">
        <x:v>MON_N016</x:v>
      </x:c>
      <x:c r="B21" s="16" t="str">
        <x:v>步停弩徒</x:v>
      </x:c>
      <x:c r="C21" s="16" t="str">
        <x:v>移动与瞄准分阶段；不能在移位完成的同一敌方阶段无预告开火。</x:v>
      </x:c>
      <x:c r="D21" s="16" t="str">
        <x:v>1. relocate 1回合：只执行提前显示的最多1格横移，不攻击；受阻则原地停。
2. telegraph 1回合：从实际新位置完整预告一玩家回合，锁定最长4格细射线。
3. execute 1回合：按已锁定射线射击一次。
4. recover 1回合：恢复一轮，下周期换横移侧。</x:v>
      </x:c>
      <x:c r="E21" s="16" t="str">
        <x:v>每周期先按左右轮替锁定垂直于当前敌我线的1格位移；到位后的下一预告阶段才锁定英雄当时位置，等价点按坐标和instanceId。
本玩家回合输入开放前冻结计划路线、攻击朝向、中心和目标点；需要完整预告的动作按cycle等待。玩家发射后不追瞄、不因最终停点改方案。固体阻挡导致原计划不可执行时停止或取消，不瞬移改点。</x:v>
      </x:c>
      <x:c r="F21" s="16" t="str">
        <x:v>strafe_tiles = 1
strafe_order = ["left","right"]
ray_width_tiles = 0.3</x:v>
      </x:c>
      <x:c r="G21" s="16" t="str">
        <x:v>利用横移的空档撞它，或等它站稳亮线后改停点；不需要实时追子弹。</x:v>
      </x:c>
      <x:c r="H21" s="16" t="str">
        <x:v>横移上限1格、左右轮替只在新周期推进；射线宽0.3格；横移阶段无伤害。 每敌方阶段最多1次伤害动作；同一动作多图形命中只取最高一次伤害；移动接触不追加未预告伤害；死亡取消未执行动作。
硬禁配：按全局约束
组合风险：横移落点不能藏进不可碰撞地形；与封区怪组合仍要给可达安全端点。；整段敌方响应合并后仍须有实际弹射可达且有角度余量的安全终点，不能只逐怪检查安全区。</x:v>
      </x:c>
      <x:c r="I21" s="16" t="str">
        <x:v>将位移结果保存后再建立新一轮预告；不调用原闪现或瞬时碰撞关闭。 新AI编排、预告与真实消费者连接均待实现；source_visual_row只作外观复用候选，不继承原行Boss标签或未指定技能，不代表已有独立美术。
验收：横移落点被墙挡住时留在合法停点；这一阶段不能出现投射，下一阶段仍须给足完整预告后才开火。</x:v>
      </x:c>
      <x:c r="J21" s="16" t="str">
        <x:v>以36HP/8基础伤害远程参照；长线或双线改变空间覆盖，不额外叠伤，保持低HP且必须先预告。 均为新设计测试值，不是源敌人原值。</x:v>
      </x:c>
    </x:row>
    <x:row r="22" ht="117" customHeight="1">
      <x:c r="A22" s="14" t="str">
        <x:v>MON_N017</x:v>
      </x:c>
      <x:c r="B22" s="14" t="str">
        <x:v>正扇吐息</x:v>
      </x:c>
      <x:c r="C22" s="14" t="str">
        <x:v>本族基线：实心正面扇区，没有内圈空洞、后背攻击或左右轮替。</x:v>
      </x:c>
      <x:c r="D22" s="14" t="str">
        <x:v>1. telegraph 1回合：完整显示一回合60度正面扇区，标出被实墙遮掉的部分。
2. execute 1回合：按真实扇区与遮挡执行一次吐息伤害。
3. recover 1回合：恢复一轮。</x:v>
      </x:c>
      <x:c r="E22" s="14" t="str">
        <x:v>朝预告时英雄位置锁定扇区中轴，覆盖自身前方60度、半径2.5格；不重锁。
本玩家回合输入开放前冻结计划路线、攻击朝向、中心和目标点；需要完整预告的动作按cycle等待。玩家发射后不追瞄、不因最终停点改方案。固体阻挡导致原计划不可执行时停止或取消，不瞬移改点。</x:v>
      </x:c>
      <x:c r="F22" s="14" t="str">
        <x:v>cone_angle_degrees = 60
inner_radius_tiles = 0
outer_radius_tiles = 2.5</x:v>
      </x:c>
      <x:c r="G22" s="14" t="str">
        <x:v>绕到侧面或背后停；穿过预告区不即时受伤，最终执行时才检查。</x:v>
      </x:c>
      <x:c r="H22" s="14" t="str">
        <x:v>扇角60度、内半径0、外半径2.5格；不附加燃烧或新火抗判定，只有既有直接伤害。 每敌方阶段最多1次伤害动作；同一动作多图形命中只取最高一次伤害；移动接触不追加未预告伤害；死亡取消未执行动作。
硬禁配：按全局约束
组合风险：远程伤害源总数≤2；不得与另一个扇区共同把所有侧背空档覆盖。；整段敌方响应合并后仍须有实际弹射可达且有角度余量的安全终点，不能只逐怪检查安全区。</x:v>
      </x:c>
      <x:c r="I22" s="14" t="str">
        <x:v>扇区真实命中、逐目标遮挡和单动作去重待实现；视觉火焰不等于新增元素属性。 新AI编排、预告与真实消费者连接均待实现；source_visual_row只作外观复用候选，不继承原行Boss标签或未指定技能，不代表已有独立美术。
验收：英雄停在同半径但距中轴40度处时0次命中；停20度且无遮挡时1次，不额外附加持续伤害。</x:v>
      </x:c>
      <x:c r="J22" s="14" t="str">
        <x:v>连续扇面比细射线更占空间，故使用中低HP、7至9基础伤害及恢复轮；内圈/侧背安全区属于数值取舍的一部分。 均为新设计测试值，不是源敌人原值。</x:v>
      </x:c>
    </x:row>
    <x:row r="23" ht="102" customHeight="1">
      <x:c r="A23" s="16" t="str">
        <x:v>MON_N018</x:v>
      </x:c>
      <x:c r="B23" s="16" t="str">
        <x:v>交替扫晶</x:v>
      </x:c>
      <x:c r="C23" s="16" t="str">
        <x:v>同一周期冻结前向，左右两个侧扇分别预告和执行；不是每次重新对准英雄的正扇。</x:v>
      </x:c>
      <x:c r="D23" s="16" t="str">
        <x:v>1. telegraph 1回合：完整预告左侧60度扇一玩家回合，右侧用未激活轮廓显示后续顺序。
2. execute 1回合：只执行左侧扇一次。
3. telegraph 1回合：保持原基准轴，完整预告右侧扇另一玩家回合。
4. execute 1回合：只执行右侧扇一次。
5. recover 1回合：恢复一轮。</x:v>
      </x:c>
      <x:c r="E23" s="16" t="str">
        <x:v>周期起点朝英雄旧位置锁定基准轴，左右侧扇中轴相对基准分别为-60度和+60度，整个双扇周期不重瞄。
本玩家回合输入开放前冻结计划路线、攻击朝向、中心和目标点；需要完整预告的动作按cycle等待。玩家发射后不追瞄、不因最终停点改方案。固体阻挡导致原计划不可执行时停止或取消，不瞬移改点。</x:v>
      </x:c>
      <x:c r="F23" s="16" t="str">
        <x:v>cone_angle_degrees = 60
heading_offsets_degrees = [-60,60]
outer_radius_tiles = 2.5</x:v>
      </x:c>
      <x:c r="G23" s="16" t="str">
        <x:v>按激活侧换停点；第一扇打完后可利用已经失效的那一侧。</x:v>
      </x:c>
      <x:c r="H23" s="16" t="str">
        <x:v>侧扇角60度、轴偏移±60度、半径2.5格；两侧分阶段，每次仅一个有效伤害区域。 每敌方阶段最多1次伤害动作；同一动作多图形命中只取最高一次伤害；移动接触不追加未预告伤害；死亡取消未执行动作。
硬禁配：按全局约束
组合风险：不能让地面余波持续占住刚结束的换位侧而导致两轮都无解。；整段敌方响应合并后仍须有实际弹射可达且有角度余量的安全终点，不能只逐怪检查安全区。</x:v>
      </x:c>
      <x:c r="I23" s="16" t="str">
        <x:v>保存双扇基准朝向、侧序和完整预告进度；预告与执行不能各算一次英雄受伤。 新AI编排、预告与真实消费者连接均待实现；source_visual_row只作外观复用候选，不继承原行Boss标签或未指定技能，不代表已有独立美术。
验收：第一扇结束后英雄转到左侧旧扇内、右扇外，第二扇不应命中；读取存档不得把轴改朝英雄新位置。</x:v>
      </x:c>
      <x:c r="J23" s="16" t="str">
        <x:v>连续扇面比细射线更占空间，故使用中低HP、7至9基础伤害及恢复轮；内圈/侧背安全区属于数值取舍的一部分。 均为新设计测试值，不是源敌人原值。</x:v>
      </x:c>
    </x:row>
    <x:row r="24" ht="117" customHeight="1">
      <x:c r="A24" s="14" t="str">
        <x:v>MON_N019</x:v>
      </x:c>
      <x:c r="B24" s="14" t="str">
        <x:v>背鸣脑囊</x:v>
      </x:c>
      <x:c r="C24" s="14" t="str">
        <x:v>只攻击与锁定敌我线相反的后半扇，正面成为可用停点；不是中央留缝的双扇。</x:v>
      </x:c>
      <x:c r="D24" s="14" t="str">
        <x:v>1. telegraph 1回合：完整标明一回合背向120度扇区，脸朝方向与伤害箭头分开显示。
2. execute 1回合：只在背向扇区结算一次伤害。
3. recover 1回合：恢复一轮。</x:v>
      </x:c>
      <x:c r="E24" s="14" t="str">
        <x:v>先朝预告时英雄位置确定身体前向，再将攻击中轴固定反转180度；并列不适用，因为只有一个英雄目标。
本玩家回合输入开放前冻结计划路线、攻击朝向、中心和目标点；需要完整预告的动作按cycle等待。玩家发射后不追瞄、不因最终停点改方案。固体阻挡导致原计划不可执行时停止或取消，不瞬移改点。</x:v>
      </x:c>
      <x:c r="F24" s="14" t="str">
        <x:v>backward_offset_degrees = 180
cone_angle_degrees = 120
outer_radius_tiles = 2.5</x:v>
      </x:c>
      <x:c r="G24" s="14" t="str">
        <x:v>可以正面碰撞后停在前方，不要习惯性绕背；标记比怪物朝脸更可靠。</x:v>
      </x:c>
      <x:c r="H24" s="14" t="str">
        <x:v>中轴反转180度、扇角120度、半径2.5格；不得发射后把身体转向英雄以带动后扇追人。 每敌方阶段最多1次伤害动作；同一动作多图形命中只取最高一次伤害；移动接触不追加未预告伤害；死亡取消未执行动作。
硬禁配：按全局约束
组合风险：与正扇怪同时出现时须防止前后扇完全封住所有近身与远端安全区。；整段敌方响应合并后仍须有实际弹射可达且有角度余量的安全终点，不能只逐怪检查安全区。</x:v>
      </x:c>
      <x:c r="I24" s="14" t="str">
        <x:v>独立保存身体朝向和伤害朝向；不能只用视觉朝向反推命中。 新AI编排、预告与真实消费者连接均待实现；source_visual_row只作外观复用候选，不继承原行Boss标签或未指定技能，不代表已有独立美术。
验收：预告英雄在怪物正前方并停在前方1格，背鸣应射向相反方向且英雄不受伤；后方同距离则命中一次。</x:v>
      </x:c>
      <x:c r="J24" s="14" t="str">
        <x:v>连续扇面比细射线更占空间，故使用中低HP、7至9基础伤害及恢复轮；内圈/侧背安全区属于数值取舍的一部分。 均为新设计测试值，不是源敌人原值。</x:v>
      </x:c>
    </x:row>
    <x:row r="25" ht="117" customHeight="1">
      <x:c r="A25" s="16" t="str">
        <x:v>MON_N020</x:v>
      </x:c>
      <x:c r="B25" s="16" t="str">
        <x:v>贴环扇喉</x:v>
      </x:c>
      <x:c r="C25" s="16" t="str">
        <x:v>扇形存在明确内半径，近身并非全危险；不同于N017实心扇和N019后扇。</x:v>
      </x:c>
      <x:c r="D25" s="16" t="str">
        <x:v>1. telegraph 1回合：完整显示一回合1至3格的正面扇带，近身1格内透明留空。
2. execute 1回合：真实距离和角度都符合时才结算一次伤害。
3. recover 1回合：恢复一轮。</x:v>
      </x:c>
      <x:c r="E25" s="16" t="str">
        <x:v>朝预告时英雄位置锁定前向120度扇区；只取距本体1至3格的环带，不跟踪最终停点。
本玩家回合输入开放前冻结计划路线、攻击朝向、中心和目标点；需要完整预告的动作按cycle等待。玩家发射后不追瞄、不因最终停点改方案。固体阻挡导致原计划不可执行时停止或取消，不瞬移改点。</x:v>
      </x:c>
      <x:c r="F25" s="16" t="str">
        <x:v>cone_angle_degrees = 120
inner_radius_tiles = 1
outer_radius_tiles = 3</x:v>
      </x:c>
      <x:c r="G25" s="16" t="str">
        <x:v>可贴近碰撞后停在内圈，或退到外沿以外；无需远程装备。</x:v>
      </x:c>
      <x:c r="H25" s="16" t="str">
        <x:v>扇角120度、内半径1格、外半径3格；内圈不是隐藏伤害，不附带减速或吸力。 每敌方阶段最多1次伤害动作；同一动作多图形命中只取最高一次伤害；移动接触不追加未预告伤害；死亡取消未执行动作。
硬禁配：按全局约束
组合风险：不可搭配把整个内圈安全区强制推出的位移怪；远端仍须留可达选择。；整段敌方响应合并后仍须有实际弹射可达且有角度余量的安全终点，不能只逐怪检查安全区。</x:v>
      </x:c>
      <x:c r="I25" s="16" t="str">
        <x:v>环扇相交几何与真实角色碰撞体边界适配；内圈显示边界须保留角色半径余量。 新AI编排、预告与真实消费者连接均待实现；source_visual_row只作外观复用候选，不继承原行Boss标签或未指定技能，不代表已有独立美术。
验收：同轴线上分别放0.6格、2格、3.5格终点：仅2格且无遮挡者命中；内圈不能因扇形外接面积而误中。</x:v>
      </x:c>
      <x:c r="J25" s="16" t="str">
        <x:v>连续扇面比细射线更占空间，故使用中低HP、7至9基础伤害及恢复轮；内圈/侧背安全区属于数值取舍的一部分。 均为新设计测试值，不是源敌人原值。</x:v>
      </x:c>
    </x:row>
    <x:row r="26" ht="102" customHeight="1">
      <x:c r="A26" s="14" t="str">
        <x:v>MON_N021</x:v>
      </x:c>
      <x:c r="B26" s="14" t="str">
        <x:v>定点囊炮</x:v>
      </x:c>
      <x:c r="C26" s="14" t="str">
        <x:v>本族基线为英雄旧位置的小圆爆点；没有侧偏、长条或连续第二点。</x:v>
      </x:c>
      <x:c r="D26" s="14" t="str">
        <x:v>1. telegraph 1回合：完整预告一玩家回合：标出锁定点半径0.8格爆圈及到达路线。
2. execute 1回合：向原点投射一次；真实投射到达后检查爆圈，途中遇固体则取消爆点，不在新位置另爆。
3. recover 1回合：恢复一轮。</x:v>
      </x:c>
      <x:c r="E26" s="14" t="str">
        <x:v>在4格投射范围内锁定预告时英雄所在的合法地面点；超出范围则本轮不攻击，不改投英雄实际停点。
本玩家回合输入开放前冻结计划路线、攻击朝向、中心和目标点；需要完整预告的动作按cycle等待。玩家发射后不追瞄、不因最终停点改方案。固体阻挡导致原计划不可执行时停止或取消，不瞬移改点。</x:v>
      </x:c>
      <x:c r="F26" s="14" t="str">
        <x:v>blast_radius_tiles = 0.8
cancel_on_projectile_obstruction = true</x:v>
      </x:c>
      <x:c r="G26" s="14" t="str">
        <x:v>把最终停点留在爆圈外；也可借实墙挡住囊炮或直接基础碰撞击杀源头。</x:v>
      </x:c>
      <x:c r="H26" s="14" t="str">
        <x:v>范围4格、爆圈半径0.8格；投射受阻取消，不穿墙、不转向、不生成持续地面伤害。 每敌方阶段最多1次伤害动作；同一动作多图形命中只取最高一次伤害；移动接触不追加未预告伤害；死亡取消未执行动作。
硬禁配：按全局约束
组合风险：远程伤害源总数≤2；爆圈与其他危险区不得覆盖全部可达终点。；整段敌方响应合并后仍须有实际弹射可达且有角度余量的安全终点，不能只逐怪检查安全区。</x:v>
      </x:c>
      <x:c r="I26" s="14" t="str">
        <x:v>接入真实投射抵达/阻挡回调与圆形单次伤害，不能仅按标记区域跳过投射过程。 新AI编排、预告与真实消费者连接均待实现；source_visual_row只作外观复用候选，不继承原行Boss标签或未指定技能，不代表已有独立美术。
验收：投射路线中途有墙，英雄仍停原爆圈内：本次爆点必须取消；无遮挡到达时才允许一次区域伤害。</x:v>
      </x:c>
      <x:c r="J26" s="14" t="str">
        <x:v>投弹用低频、固定旧落点与较低HP交换范围威胁，多区域不额外叠伤。 HP、基础伤害均为F1标准波新设计测试值，不是源原值。</x:v>
      </x:c>
    </x:row>
    <x:row r="27" ht="117" customHeight="1">
      <x:c r="A27" s="16" t="str">
        <x:v>MON_N022</x:v>
      </x:c>
      <x:c r="B27" s="16" t="str">
        <x:v>错位投囊</x:v>
      </x:c>
      <x:c r="C27" s="16" t="str">
        <x:v>相对英雄旧位置偏移落点，不能照搬N021只离开原地的反制。</x:v>
      </x:c>
      <x:c r="D27" s="16" t="str">
        <x:v>1. telegraph 1回合：完整预告一玩家回合偏移后半径0.75格爆圈；候选已确定，不再变点。
2. execute 1回合：投向已保存点，途中受阻取消，只在抵达原标点时执行一次爆炸。
3. recover 1回合：恢复一轮。</x:v>
      </x:c>
      <x:c r="E27" s="16" t="str">
        <x:v>以预告时敌我连线为轴，在英雄旧位置左侧偏移1格选点；非法时按右、前、后固定顺序找合法点，均失败则跳过；同格候选按坐标和instanceId。
本玩家回合输入开放前冻结计划路线、攻击朝向、中心和目标点；需要完整预告的动作按cycle等待。玩家发射后不追瞄、不因最终停点改方案。固体阻挡导致原计划不可执行时停止或取消，不瞬移改点。</x:v>
      </x:c>
      <x:c r="F27" s="16" t="str">
        <x:v>offset_tiles = 1
offset_order = ["left","right","forward","back"]
blast_radius_tiles = 0.75</x:v>
      </x:c>
      <x:c r="G27" s="16" t="str">
        <x:v>先看真正爆点，留在原来位置也可能安全；无需按经验盲目向侧面躲。</x:v>
      </x:c>
      <x:c r="H27" s="16" t="str">
        <x:v>偏移1格、爆圈半径0.75格、投射距离4格；回退顺序在预告前完成，发射后无新回退。 每敌方阶段最多1次伤害动作；同一动作多图形命中只取最高一次伤害；移动接触不追加未预告伤害；死亡取消未执行动作。
硬禁配：按全局约束
组合风险：偏移点不得选在不可见墙后；不能与中心爆点组合封住所有侧向落点。；整段敌方响应合并后仍须有实际弹射可达且有角度余量的安全终点，不能只逐怪检查安全区。</x:v>
      </x:c>
      <x:c r="I27" s="16" t="str">
        <x:v>新增地面点候选和稳定回退，使用同一真实投射/区域伤害消费者；血卵视觉不自动孵化。 新AI编排、预告与真实消费者连接均待实现；source_visual_row只作外观复用候选，不继承原行Boss标签或未指定技能，不代表已有独立美术。
验收：左侧候选是墙时，预告前改为右侧并保存；玩家发射后右侧再被阻挡只能取消，不能偷偷换到前方点。</x:v>
      </x:c>
      <x:c r="J27" s="16" t="str">
        <x:v>投弹用低频、固定旧落点与较低HP交换范围威胁，多区域不额外叠伤。 HP、基础伤害均为F1标准波新设计测试值，不是源原值。</x:v>
      </x:c>
    </x:row>
    <x:row r="28" ht="102" customHeight="1">
      <x:c r="A28" s="14" t="str">
        <x:v>MON_N023</x:v>
      </x:c>
      <x:c r="B28" s="14" t="str">
        <x:v>横裂投手</x:v>
      </x:c>
      <x:c r="C28" s="14" t="str">
        <x:v>一次矩形爆裂带替代圆爆点，不采用精英的两侧圆形同爆。</x:v>
      </x:c>
      <x:c r="D28" s="14" t="str">
        <x:v>1. telegraph 1回合：完整预告一玩家回合长2.5格宽0.5格的横向爆裂带及投射路线。
2. execute 1回合：投射抵达锁定中心才触发该矩形一次伤害；实墙遮挡的带段不生效。
3. recover 1回合：恢复一轮。</x:v>
      </x:c>
      <x:c r="E28" s="14" t="str">
        <x:v>锁定预告时英雄地面点为条带中心，长轴固定房间X轴；中心须在4格投射范围，不能随镜头或英雄新位置旋转。
本玩家回合输入开放前冻结计划路线、攻击朝向、中心和目标点；需要完整预告的动作按cycle等待。玩家发射后不追瞄、不因最终停点改方案。固体阻挡导致原计划不可执行时停止或取消，不瞬移改点。</x:v>
      </x:c>
      <x:c r="F28" s="14" t="str">
        <x:v>strip_length_tiles = 2.5
strip_width_tiles = 0.5
axis = room_x</x:v>
      </x:c>
      <x:c r="G28" s="14" t="str">
        <x:v>纵向移开窄带，或利用遮挡；横向移动很远却仍留在带里并不安全。</x:v>
      </x:c>
      <x:c r="H28" s="14" t="str">
        <x:v>条带2.5×0.5格，只有一次伤害；不沿条带逐格叠伤，不产生新的地形碰撞体。 每敌方阶段最多1次伤害动作；同一动作多图形命中只取最高一次伤害；移动接触不追加未预告伤害；死亡取消未执行动作。
硬禁配：按全局约束
组合风险：不能配一条纵向封区把条带两侧全部安全终点补满。；整段敌方响应合并后仍须有实际弹射可达且有角度余量的安全终点，不能只逐怪检查安全区。</x:v>
      </x:c>
      <x:c r="I28" s="14" t="str">
        <x:v>矩形落点爆炸、局部遮挡及actionId去重待适配；不新增元素或DOT属性。 新AI编排、预告与真实消费者连接均待实现；source_visual_row只作外观复用候选，不继承原行Boss标签或未指定技能，不代表已有独立美术。
验收：英雄与中心横向相距1格、纵向0.4格时在窄带外不受伤；位于条带内时无论覆盖多少格只一次伤害。</x:v>
      </x:c>
      <x:c r="J28" s="14" t="str">
        <x:v>投弹用低频、固定旧落点与较低HP交换范围威胁，多区域不额外叠伤。 HP、基础伤害均为F1标准波新设计测试值，不是源原值。</x:v>
      </x:c>
    </x:row>
    <x:row r="29" ht="117" customHeight="1">
      <x:c r="A29" s="16" t="str">
        <x:v>MON_N024</x:v>
      </x:c>
      <x:c r="B29" s="16" t="str">
        <x:v>顺序掷囊者</x:v>
      </x:c>
      <x:c r="C29" s="16" t="str">
        <x:v>锁定两个独立地面点并分两次完整预告，不是同时两点爆炸或执行时追踪。</x:v>
      </x:c>
      <x:c r="D29" s="16" t="str">
        <x:v>1. telegraph 1回合：一次显示A/B两个半径0.65格圆和先后编号，A完整预告一玩家回合。
2. execute 1回合：只投A；投射受阻则A取消。
3. telegraph 1回合：保留旧B位置并完整预告另一玩家回合；若无合法B，此阶段直接显示空过。
4. execute 1回合：只投B，受阻则取消；不得补投英雄新位置。
5. recover 1回合：恢复一轮。</x:v>
      </x:c>
      <x:c r="E29" s="16" t="str">
        <x:v>周期开始记录英雄旧位置A及沿敌我轴再偏移1格的B；非法B改为固定反向偏移，仍非法则只执行A；同候选按坐标和instanceId。
本玩家回合输入开放前冻结计划路线、攻击朝向、中心和目标点；需要完整预告的动作按cycle等待。玩家发射后不追瞄、不因最终停点改方案。固体阻挡导致原计划不可执行时停止或取消，不瞬移改点。</x:v>
      </x:c>
      <x:c r="F29" s="16" t="str">
        <x:v>second_offset_tiles = 1
blast_radius_tiles = 0.65
point_order = ["A","B"]
invalid_second_point = omit</x:v>
      </x:c>
      <x:c r="G29" s="16" t="str">
        <x:v>A爆完可进入A旧区，只需避开下一次B；也可击杀源头取消未执行点。</x:v>
      </x:c>
      <x:c r="H29" s="16" t="str">
        <x:v>两点半径0.65格，B偏移1格；每敌方阶段只有一枚有效投弹；B无效不补点、不提前把A再炸一次。 每敌方阶段最多1次伤害动作；同一动作多图形命中只取最高一次伤害；移动接触不追加未预告伤害；死亡取消未执行动作。
硬禁配：按全局约束
组合风险：不得用持续封区占住A已清空区，造成预告有换位窗口但实际无解。；整段敌方响应合并后仍须有实际弹射可达且有角度余量的安全终点，不能只逐怪检查安全区。</x:v>
      </x:c>
      <x:c r="I29" s="16" t="str">
        <x:v>保存点列表、投弹索引和每点预告进度；新投射须继承同一周期账本但使用独立动作ID。 新AI编排、预告与真实消费者连接均待实现；source_visual_row只作外观复用候选，不继承原行Boss标签或未指定技能，不代表已有独立美术。
验收：A执行后英雄停入A且在B外，B阶段不得伤害；读档恢复仍使用原B坐标，不能跟英雄当前坐标重建。</x:v>
      </x:c>
      <x:c r="J29" s="16" t="str">
        <x:v>投弹用低频、固定旧落点与较低HP交换范围威胁，多区域不额外叠伤。 HP、基础伤害均为F1标准波新设计测试值，不是源原值。</x:v>
      </x:c>
    </x:row>
    <x:row r="30" ht="102" customHeight="1">
      <x:c r="A30" s="14" t="str">
        <x:v>MON_N025</x:v>
      </x:c>
      <x:c r="B30" s="14" t="str">
        <x:v>内环震徒</x:v>
      </x:c>
      <x:c r="C30" s="14" t="str">
        <x:v>与原地重锤不同，先有无伤移位阶段；本族首条为实心近圆，精英才改空心环。</x:v>
      </x:c>
      <x:c r="D30" s="14" t="str">
        <x:v>1. relocate 1回合：显示并执行最多0.5格无伤移位，不能在此阶段攻击。
2. telegraph 1回合：从实际新位置完整预告一玩家回合半径1.25格实心近圈。
3. execute 1回合：仅在锁定近圈执行一次直接伤害；本体离开中心则取消重做预告。
4. recover 1回合：原地恢复一轮。</x:v>
      </x:c>
      <x:c r="E30" s="14" t="str">
        <x:v>先朝预告时英雄位置锁定最多0.5格合法移位；到位后下一预告以实际本体位置锁定震击中心，不因英雄最终停点改变。
本玩家回合输入开放前冻结计划路线、攻击朝向、中心和目标点；需要完整预告的动作按cycle等待。玩家发射后不追瞄、不因最终停点改方案。固体阻挡导致原计划不可执行时停止或取消，不瞬移改点。</x:v>
      </x:c>
      <x:c r="F30" s="14" t="str">
        <x:v>reposition_tiles = 0.5
radius_tiles = 1.25
reposition_has_damage = false</x:v>
      </x:c>
      <x:c r="G30" s="14" t="str">
        <x:v>利用移位/预告窗口撞击，再把停点留在近圈外；不需要远程输出。</x:v>
      </x:c>
      <x:c r="H30" s="14" t="str">
        <x:v>无伤移位0.5格，震击半径1.25格；不能以环震动画附送撞击伤害或持续吸力。 每敌方阶段最多1次伤害动作；同一动作多图形命中只取最高一次伤害；移动接触不追加未预告伤害；死亡取消未执行动作。
硬禁配：按全局约束
组合风险：与外环伤害源同队时不得形成近远都没有安全区的套圈。；整段敌方响应合并后仍须有实际弹射可达且有角度余量的安全终点，不能只逐怪检查安全区。</x:v>
      </x:c>
      <x:c r="I30" s="14" t="str">
        <x:v>分离无伤移位与后续圆形命中阶段，冻结中心；新的位移和波纹消费者均待验证。 新AI编排、预告与真实消费者连接均待实现；source_visual_row只作外观复用候选，不继承原行Boss标签或未指定技能，不代表已有独立美术。
验收：移位阶段英雄在移动末端附近时HP不变；完整预告后仅近圈内触发一次，圈外0次；读档不跳过预告。</x:v>
      </x:c>
      <x:c r="J30" s="14" t="str">
        <x:v>圆形几何改变贴近与远离选择，基础伤害保持8且不叠重击倍率，以明确安全区和完整预告交换覆盖。 HP、基础伤害均为F1标准波新设计测试值，不是源原值。</x:v>
      </x:c>
    </x:row>
    <x:row r="31" ht="102" customHeight="1">
      <x:c r="A31" s="16" t="str">
        <x:v>MON_N026</x:v>
      </x:c>
      <x:c r="B31" s="16" t="str">
        <x:v>扩环火灵</x:v>
      </x:c>
      <x:c r="C31" s="16" t="str">
        <x:v>两个不同半径环带顺序外扩，刚结束的内环随后变安全，不是加大同一个圆。</x:v>
      </x:c>
      <x:c r="D31" s="16" t="str">
        <x:v>1. telegraph 1回合：完整预告一玩家回合1至2格环带，并以编号显示后续外环。
2. execute 1回合：只执行内环一次。
3. telegraph 1回合：内环熄灭，完整预告另一玩家回合2至3格外环。
4. execute 1回合：只执行外环一次。
5. recover 1回合：恢复一轮。</x:v>
      </x:c>
      <x:c r="E31" s="16" t="str">
        <x:v>整个周期以预告开始时自身位置为固定圆心；先1至2格环带，再2至3格环带，中心不追踪英雄。
本玩家回合输入开放前冻结计划路线、攻击朝向、中心和目标点；需要完整预告的动作按cycle等待。玩家发射后不追瞄、不因最终停点改方案。固体阻挡导致原计划不可执行时停止或取消，不瞬移改点。</x:v>
      </x:c>
      <x:c r="F31" s="16" t="str">
        <x:v>ring_bounds_tiles = [[1,2],[2,3]]
ring_order = ["inner_band","outer_band"]</x:v>
      </x:c>
      <x:c r="G31" s="16" t="str">
        <x:v>可始终贴近1格内，或在内环结束后退入已经安全的内带；不要连续向外逃进第二环。</x:v>
      </x:c>
      <x:c r="H31" s="16" t="str">
        <x:v>内带[1,2]格、外带[2,3]格；共享边界采用统一半开区间，不能让同阶段边界叠伤；每环仅一次直接伤害。 每敌方阶段最多1次伤害动作；同一动作多图形命中只取最高一次伤害；移动接触不追加未预告伤害；死亡取消未执行动作。
硬禁配：按全局约束
组合风险：与近身圆击混编前须确认内圈及外侧还有至少一块可达安全区。；整段敌方响应合并后仍须有实际弹射可达且有角度余量的安全终点，不能只逐怪检查安全区。</x:v>
      </x:c>
      <x:c r="I31" s="16" t="str">
        <x:v>环带距离判定、阶段切换与可视边界适配；火灵外观不增加燃烧或火抗。 新AI编排、预告与真实消费者连接均待实现；source_visual_row只作外观复用候选，不继承原行Boss标签或未指定技能，不代表已有独立美术。
验收：内环结束后英雄停在距中心1.5格处，下一外环阶段不得伤害；距离2.5格处只在外环阶段命中一次。</x:v>
      </x:c>
      <x:c r="J31" s="16" t="str">
        <x:v>圆形几何改变贴近与远离选择，基础伤害保持8且不叠重击倍率，以明确安全区和完整预告交换覆盖。 HP、基础伤害均为F1标准波新设计测试值，不是源原值。</x:v>
      </x:c>
    </x:row>
    <x:row r="32" ht="117" customHeight="1">
      <x:c r="A32" s="14" t="str">
        <x:v>MON_N027</x:v>
      </x:c>
      <x:c r="B32" s="14" t="str">
        <x:v>缺口轮卫</x:v>
      </x:c>
      <x:c r="C32" s="14" t="str">
        <x:v>空心环再去掉明确90度扇区，缺口位置固定可利用；不是随机安全格。</x:v>
      </x:c>
      <x:c r="D32" s="14" t="str">
        <x:v>1. telegraph 1回合：完整展示一玩家回合空心环及背向90度透明缺口，缺口边界留可辨轮廓。
2. execute 1回合：仅对环带且不在缺口内的真实碰撞目标执行一次伤害。
3. recover 1回合：恢复一轮。</x:v>
      </x:c>
      <x:c r="E32" s="14" t="str">
        <x:v>圆心固定自身，环带为1至2.5格；缺口中轴锁为预告时敌我线反向180度，不随玩家转动。
本玩家回合输入开放前冻结计划路线、攻击朝向、中心和目标点；需要完整预告的动作按cycle等待。玩家发射后不追瞄、不因最终停点改方案。固体阻挡导致原计划不可执行时停止或取消，不瞬移改点。</x:v>
      </x:c>
      <x:c r="F32" s="14" t="str">
        <x:v>inner_radius_tiles = 1
outer_radius_tiles = 2.5
gap_angle_degrees = 90
gap_heading_offset_degrees = 180</x:v>
      </x:c>
      <x:c r="G32" s="14" t="str">
        <x:v>可停内圈、外圈或缺口；基础弹射能借缺口靠近，不要求穿透能力。</x:v>
      </x:c>
      <x:c r="H32" s="14" t="str">
        <x:v>内半径1格、外半径2.5格、缺口90度；预告后缺口不旋转、不临时收窄；不产生碰撞墙。 每敌方阶段最多1次伤害动作；同一动作多图形命中只取最高一次伤害；移动接触不追加未预告伤害；死亡取消未执行动作。
硬禁配：按全局约束
组合风险：不能与另一缺口环反向叠放把两者所有缺口都堵死；窄房需检查实际可达角宽。；整段敌方响应合并后仍须有实际弹射可达且有角度余量的安全终点，不能只逐怪检查安全区。</x:v>
      </x:c>
      <x:c r="I32" s="14" t="str">
        <x:v>环形减扇区的真实命中查询与方向冻结待实现；透明缺口必须同时从命中查询中剔除。 新AI编排、预告与真实消费者连接均待实现；source_visual_row只作外观复用候选，不继承原行Boss标签或未指定技能，不代表已有独立美术。
验收：把英雄置于环带中但处在缺口中轴上，伤害0；转到缺口外同距离时仅一次，读档不重新朝向英雄。</x:v>
      </x:c>
      <x:c r="J32" s="14" t="str">
        <x:v>圆形几何改变贴近与远离选择，基础伤害保持8且不叠重击倍率，以明确安全区和完整预告交换覆盖。 HP、基础伤害均为F1标准波新设计测试值，不是源原值。</x:v>
      </x:c>
    </x:row>
    <x:row r="33" ht="117" customHeight="1">
      <x:c r="A33" s="16" t="str">
        <x:v>MON_N028</x:v>
      </x:c>
      <x:c r="B33" s="16" t="str">
        <x:v>半轮旋脑</x:v>
      </x:c>
      <x:c r="C33" s="16" t="str">
        <x:v>同半径的前后半环交替，改变安全方向而非半径；与N026外扩不同。</x:v>
      </x:c>
      <x:c r="D33" s="16" t="str">
        <x:v>1. telegraph 1回合：完整预告一玩家回合前半环，后半轮廓标为下一阶段。
2. execute 1回合：仅执行前半环一次。
3. telegraph 1回合：前半环关闭，完整预告后半环另一玩家回合。
4. execute 1回合：仅执行后半环一次。
5. recover 1回合：恢复一轮。</x:v>
      </x:c>
      <x:c r="E33" s="16" t="str">
        <x:v>周期起点朝英雄旧位置锁定轴，先其前方180度半环，再其后方180度半环；整个周期冻结。
本玩家回合输入开放前冻结计划路线、攻击朝向、中心和目标点；需要完整预告的动作按cycle等待。玩家发射后不追瞄、不因最终停点改方案。固体阻挡导致原计划不可执行时停止或取消，不瞬移改点。</x:v>
      </x:c>
      <x:c r="F33" s="16" t="str">
        <x:v>inner_radius_tiles = 0.8
outer_radius_tiles = 2.5
half_angle_degrees = 180
heading_order_degrees = [0,180]</x:v>
      </x:c>
      <x:c r="G33" s="16" t="str">
        <x:v>利用刚扫完的半边换位，或贴在0.8格内的安全内圈；留意本轮亮起的是哪一半。</x:v>
      </x:c>
      <x:c r="H33" s="16" t="str">
        <x:v>环带0.8至2.5格，两个半环各180度；边界按统一方向半开处理，同阶段不双算。 每敌方阶段最多1次伤害动作；同一动作多图形命中只取最高一次伤害；移动接触不追加未预告伤害；死亡取消未执行动作。
硬禁配：按全局约束
组合风险：两个同类不能反相位铺满整环且同时封住内外圈；必须留稳定可达空档。；整段敌方响应合并后仍须有实际弹射可达且有角度余量的安全终点，不能只逐怪检查安全区。</x:v>
      </x:c>
      <x:c r="I33" s="16" t="str">
        <x:v>半环与内圈扣除查询、相位保存和真实角色半径边界适配待实现。 新AI编排、预告与真实消费者连接均待实现；source_visual_row只作外观复用候选，不继承原行Boss标签或未指定技能，不代表已有独立美术。
验收：前半执行后，英雄进入前半旧区且不在后半边界，后半阶段不伤害；同一敌方阶段不得同时激活前后半环。</x:v>
      </x:c>
      <x:c r="J33" s="16" t="str">
        <x:v>圆形几何改变贴近与远离选择，基础伤害保持8且不叠重击倍率，以明确安全区和完整预告交换覆盖。 HP、基础伤害均为F1标准波新设计测试值，不是源原值。</x:v>
      </x:c>
    </x:row>
    <x:row r="34" ht="117" customHeight="1">
      <x:c r="A34" s="14" t="str">
        <x:v>MON_N029</x:v>
      </x:c>
      <x:c r="B34" s="14" t="str">
        <x:v>余痕晶刺</x:v>
      </x:c>
      <x:c r="C34" s="14" t="str">
        <x:v>伤害中心留在旧位置而不随施放者移动；不同于本体圆震或投向英雄的囊炮。</x:v>
      </x:c>
      <x:c r="D34" s="14" t="str">
        <x:v>1. relocate 1回合：标出旧位半径0.8格痕迹并执行最多1格无伤位移；痕迹此时无伤害。
2. telegraph 1回合：原痕迹完整亮示一玩家回合；经过它不触发伤害。
3. execute 1回合：仅在旧痕迹范围执行一次直接伤害，立即删除痕迹。
4. recover 1回合：恢复一轮。</x:v>
      </x:c>
      <x:c r="E34" s="14" t="str">
        <x:v>先记自身旧位置为痕迹中心，再朝背离英雄旧位置的方向锁定最多1格无伤位移；等价合法停点按坐标和instanceId。
本玩家回合输入开放前冻结计划路线、攻击朝向、中心和目标点；需要完整预告的动作按cycle等待。玩家发射后不追瞄、不因最终停点改方案。固体阻挡导致原计划不可执行时停止或取消，不瞬移改点。</x:v>
      </x:c>
      <x:c r="F34" s="14" t="str">
        <x:v>patch_radius_tiles = 0.8
patch_count = 1
patch_damage_actions = 1
cancel_on_owner_death = true</x:v>
      </x:c>
      <x:c r="G34" s="14" t="str">
        <x:v>追撞已经离开的源头，停点避开亮痕；提前击杀源头可取消未爆痕迹。</x:v>
      </x:c>
      <x:c r="H34" s="14" t="str">
        <x:v>每周期仅1个半径0.8格痕迹，1次伤害后消失；2格行为范围覆盖移位后到旧痕迹的距离；不新建地形DOT、减速或酸蚀属性。 每敌方阶段最多1次伤害动作；同一动作多图形命中只取最高一次伤害；移动接触不追加未预告伤害；死亡取消未执行动作。
硬禁配：F18
组合风险：与F18强制位移家族禁止同队，避免把英雄送回既定爆点。；多个痕迹不能联合占据全部可达终点。；整段敌方响应合并后仍须有实际弹射可达且有角度余量的安全终点，不能只逐怪检查安全区。</x:v>
      </x:c>
      <x:c r="I34" s="14" t="str">
        <x:v>保存独立世界痕迹坐标及到期actionId，实际区域查询只执行一次；源头死亡清除标记和未提交伤害。 新AI编排、预告与真实消费者连接均待实现；source_visual_row只作外观复用候选，不继承原行Boss标签或未指定技能，不代表已有独立美术。
验收：施放者移走后，伤害仍只在旧痕迹；英雄穿过痕迹但最终停外面不受伤，源头在爆发前死亡则旧点也不爆。</x:v>
      </x:c>
      <x:c r="J34" s="14" t="str">
        <x:v>延迟地面区提供落点压力，但45至60HP和低频一次伤害给基础碰撞拆源窗口；不叠持续DOT。 均为F1标准波新设计测试值，不是源原值。</x:v>
      </x:c>
    </x:row>
    <x:row r="35" ht="117" customHeight="1">
      <x:c r="A35" s="16" t="str">
        <x:v>MON_N030</x:v>
      </x:c>
      <x:c r="B35" s="16" t="str">
        <x:v>行迹裂虫</x:v>
      </x:c>
      <x:c r="C35" s="16" t="str">
        <x:v>危险几何是已经走过的线段而非单点；移动时无伤，下一轮才检查终点是否在带内。</x:v>
      </x:c>
      <x:c r="D35" s="16" t="str">
        <x:v>1. relocate 1回合：先显示无伤移动路线，执行后沿实际走过的段留下宽0.6格痕迹。
2. telegraph 1回合：完整预告一玩家回合已生成的痕迹，线带经过不即时扣血。
3. execute 1回合：该带执行一次直接伤害后整体清除。
4. recover 1回合：恢复一轮。</x:v>
      </x:c>
      <x:c r="E35" s="16" t="str">
        <x:v>锁定朝英雄旧位置侧方的最多1.5格直线路径；痕迹仅取实际成功移动段，受阻部分不留下伤害，左右候选按固定顺序及instanceId。
本玩家回合输入开放前冻结计划路线、攻击朝向、中心和目标点；需要完整预告的动作按cycle等待。玩家发射后不追瞄、不因最终停点改方案。固体阻挡导致原计划不可执行时停止或取消，不瞬移改点。</x:v>
      </x:c>
      <x:c r="F35" s="16" t="str">
        <x:v>trail_width_tiles = 0.6
trail_max_length_tiles = 1.5
trail_damage_actions = 1</x:v>
      </x:c>
      <x:c r="G35" s="16" t="str">
        <x:v>可以跨过痕迹去撞源头，只要最后停在线外；墙挡截断的未走路段不会冒出危险。</x:v>
      </x:c>
      <x:c r="H35" s="16" t="str">
        <x:v>最长1.5格、宽0.6格的单条痕迹，只有一次伤害；行为范围2格只描述其空间外包络，不扩大实形。 每敌方阶段最多1次伤害动作；同一动作多图形命中只取最高一次伤害；移动接触不追加未预告伤害；死亡取消未执行动作。
硬禁配：F18
组合风险：与F18强制位移家族禁止同队。；线痕不能与横向封区拼成贯穿所有可达停点的网。；整段敌方响应合并后仍须有实际弹射可达且有角度余量的安全终点，不能只逐怪检查安全区。</x:v>
      </x:c>
      <x:c r="I35" s="16" t="str">
        <x:v>使用真实移动轨迹生成延迟伤害段，不能直接使用原计划全长；分离运动接触和地面爆发actionId。 新AI编排、预告与真实消费者连接均待实现；source_visual_row只作外观复用候选，不继承原行Boss标签或未指定技能，不代表已有独立美术。
验收：移动走到0.5格即被墙阻挡：只生成0.5格痕迹；英雄停在计划的1.2格处且不触已生成段时0伤害。</x:v>
      </x:c>
      <x:c r="J35" s="16" t="str">
        <x:v>延迟地面区提供落点压力，但45至60HP和低频一次伤害给基础碰撞拆源窗口；不叠持续DOT。 均为F1标准波新设计测试值，不是源原值。</x:v>
      </x:c>
    </x:row>
    <x:row r="36" ht="117" customHeight="1">
      <x:c r="A36" s="14" t="str">
        <x:v>MON_N031</x:v>
      </x:c>
      <x:c r="B36" s="14" t="str">
        <x:v>层震囊体</x:v>
      </x:c>
      <x:c r="C36" s="14" t="str">
        <x:v>中心小圆和后续外环分阶段，第一处结束即安全；不是永不消失的持续伤害地板。</x:v>
      </x:c>
      <x:c r="D36" s="14" t="str">
        <x:v>1. telegraph 1回合：完整预告中心小圆一玩家回合，并注明只有一次后续外缘余波。
2. execute 1回合：小圆一次伤害后关闭。
3. telegraph 1回合：完整预告外缘环带另一玩家回合，中心小圆此时无伤害。
4. execute 1回合：外环一次伤害后全部清除。
5. recover 1回合：恢复一轮。</x:v>
      </x:c>
      <x:c r="E36" s="14" t="str">
        <x:v>周期起点固定自身位置为地面中心；先0.75格小圆，再0.75至1.75格外环，整个周期不重选英雄目标。
本玩家回合输入开放前冻结计划路线、攻击朝向、中心和目标点；需要完整预告的动作按cycle等待。玩家发射后不追瞄、不因最终停点改方案。固体阻挡导致原计划不可执行时停止或取消，不瞬移改点。</x:v>
      </x:c>
      <x:c r="F36" s="14" t="str">
        <x:v>first_radius_tiles = 0.75
echo_inner_radius_tiles = 0.75
echo_outer_radius_tiles = 1.75
echo_count = 1</x:v>
      </x:c>
      <x:c r="G36" s="14" t="str">
        <x:v>第一击后可进入已关闭的中心，或始终停在最外侧；每次都能用普通弹射换位。</x:v>
      </x:c>
      <x:c r="H36" s="14" t="str">
        <x:v>首圈半径0.75格、余环0.75至1.75格；只1次余波，不能以受击/读档续期；两次伤害分不同阶段。 每敌方阶段最多1次伤害动作；同一动作多图形命中只取最高一次伤害；移动接触不追加未预告伤害；死亡取消未执行动作。
硬禁配：F18
组合风险：与F18强制位移家族禁止同队。；不得与其他近圈攻击把余波提供的中心换位窗口完全填满。；整段敌方响应合并后仍须有实际弹射可达且有角度余量的安全终点，不能只逐怪检查安全区。</x:v>
      </x:c>
      <x:c r="I36" s="14" t="str">
        <x:v>两个区域阶段各独立一次性提交，边界半开约定与伤害去重待实现；不调用永久DOT消费者。 新AI编排、预告与真实消费者连接均待实现；source_visual_row只作外观复用候选，不继承原行Boss标签或未指定技能，不代表已有独立美术。
验收：首圈执行后英雄停在距中心0.4格处，后续外环不伤害；读档后不能重新触发首圈或增加第二次余波。</x:v>
      </x:c>
      <x:c r="J36" s="14" t="str">
        <x:v>延迟地面区提供落点压力，但45至60HP和低频一次伤害给基础碰撞拆源窗口；不叠持续DOT。 均为F1标准波新设计测试值，不是源原值。</x:v>
      </x:c>
    </x:row>
    <x:row r="37" ht="117" customHeight="1">
      <x:c r="A37" s="16" t="str">
        <x:v>MON_N032</x:v>
      </x:c>
      <x:c r="B37" s="16" t="str">
        <x:v>断纹祭壶</x:v>
      </x:c>
      <x:c r="C37" s="16" t="str">
        <x:v>一动作包含三段离散矩形，段间保持空隙；与连续线痕和顺序外扩不同。</x:v>
      </x:c>
      <x:c r="D37" s="16" t="str">
        <x:v>1. telegraph 1回合：完整预告一玩家回合三段宽0.5格亮纹，间隔处保持透明；遮挡裁剪在预告时显示。
2. execute 1回合：三段组成同一次直接伤害动作，执行完全部消失。
3. recover 1回合：恢复一轮。</x:v>
      </x:c>
      <x:c r="E37" s="16" t="str">
        <x:v>朝预告时英雄位置锁定长轴；沿轴固定生成[0.25,0.75]、[1.25,1.75]、[2.25,2.75]格三段，不以英雄终点补空隙。
本玩家回合输入开放前冻结计划路线、攻击朝向、中心和目标点；需要完整预告的动作按cycle等待。玩家发射后不追瞄、不因最终停点改方案。固体阻挡导致原计划不可执行时停止或取消，不瞬移改点。</x:v>
      </x:c>
      <x:c r="F37" s="16" t="str">
        <x:v>segment_bounds_tiles = [[0.25,0.75],[1.25,1.75],[2.25,2.75]]
segment_width_tiles = 0.5
segment_count = 3</x:v>
      </x:c>
      <x:c r="G37" s="16" t="str">
        <x:v>主要选择整条纹路侧方的安全停点；只有实际角色碰撞体能完整容纳时才利用段间空隙。</x:v>
      </x:c>
      <x:c r="H37" s="16" t="str">
        <x:v>3段分别长0.5格、宽0.5格，区间如参数所列，总方向范围不超过3格；同一英雄跨两段仍只伤一次。 每敌方阶段最多1次伤害动作；同一动作多图形命中只取最高一次伤害；移动接触不追加未预告伤害；死亡取消未执行动作。
硬禁配：F18
组合风险：与F18强制位移家族禁止同队。；段间空隙不得仅按中心点判安全，必须计入英雄碰撞半径和其他危险区。；整段敌方响应合并后仍须有实际弹射可达且有角度余量的安全终点，不能只逐怪检查安全区。</x:v>
      </x:c>
      <x:c r="I37" s="16" t="str">
        <x:v>离散矩形命中并集、角色半径安全余量、单actionId去重待实现；不创建实体墙或新抗性。 新AI编排、预告与真实消费者连接均待实现；source_visual_row只作外观复用候选，不继承原行Boss标签或未指定技能，不代表已有独立美术。
验收：英雄碰撞体与两段同时相交时只提交一次伤害；完全位于纹路侧方且不相交时0次，不能用外接长矩形误判。</x:v>
      </x:c>
      <x:c r="J37" s="16" t="str">
        <x:v>延迟地面区提供落点压力，但45至60HP和低频一次伤害给基础碰撞拆源窗口；不叠持续DOT。 均为F1标准波新设计测试值，不是源原值。</x:v>
      </x:c>
    </x:row>
    <x:row r="38" ht="117" customHeight="1">
      <x:c r="A38" s="14" t="str">
        <x:v>MON_N033</x:v>
      </x:c>
      <x:c r="B38" s="14" t="str">
        <x:v>楔面盾卒</x:v>
      </x:c>
      <x:c r="C38" s="14" t="str">
        <x:v>本族基线：固定正面90度守势，再正面短刺，不轮转、不单次剥盾。</x:v>
      </x:c>
      <x:c r="D38" s="14" t="str">
        <x:v>1. guard 1回合：完整显示一玩家回合正面90度守势和下一次60度短刺预告；仅来自正面方向的直接伤害应用35%既有减伤来源。
2. move_melee 1回合：守势撤销，沿已显示路线前移最多0.5格，在1格范围的锁定60度前扇短刺一次。
3. recover 1回合：恢复一轮，无守势加成。</x:v>
      </x:c>
      <x:c r="E38" s="14" t="str">
        <x:v>守势开始朝预告时英雄位置锁定前向；守势扇区和之后短刺方向整个周期固定，不随玩家绕侧旋转。
本玩家回合输入开放前冻结计划路线、攻击朝向、中心和目标点；需要完整预告的动作按cycle等待。玩家发射后不追瞄、不因最终停点改方案。固体阻挡导致原计划不可执行时停止或取消，不瞬移改点。</x:v>
      </x:c>
      <x:c r="F38" s="14" t="str">
        <x:v>guard_angle_degrees = 90
temporary_damage_reduction_ratio = 0.35
guarded_phases = ["guard"]
stab_angle_degrees = 60</x:v>
      </x:c>
      <x:c r="G38" s="14" t="str">
        <x:v>借墙打侧背或在撤盾刺击后的恢复轮输出；即使正撞也只是减伤，不反伤、不免疫。</x:v>
      </x:c>
      <x:c r="H38" s="14" t="str">
        <x:v>守势90度、减伤来源0.35，仅guard阶段生效；短刺60度且范围1格；移动最多0.5格；总减伤封顶75%是项目规则，必须显式适配。 每敌方阶段最多1次伤害动作；同一动作多图形命中只取最高一次伤害；移动接触不追加未预告伤害；死亡取消未执行动作。
硬禁配：按全局约束
组合风险：与强固/治疗来源叠加时须评估基础碰撞是否仍能推进，禁止减伤来源漏清导致永久堆叠。；整段敌方响应合并后仍须有实际弹射可达且有角度余量的安全终点，不能只逐怪检查安全区。</x:v>
      </x:c>
      <x:c r="I38" s="14" t="str">
        <x:v>按入射方向暂挂/移除既有科学词条.伤害减免%来源，调用既有减伤消费者；75%clamp不是当前core自带，需项目层实现。 新AI编排、预告与真实消费者连接均待实现；source_visual_row只作外观复用候选，不继承原行Boss标签或未指定技能，不代表已有独立美术。
验收：无其他减免时相同直接伤害分别从盾面和背面输入：仅正面出现35%减免，背面原量；切到恢复阶段后两面均不保留该来源。</x:v>
      </x:c>
      <x:c r="J38" s="14" t="str">
        <x:v>参照75HP/8攻击的项目守卫基准，防御姿态换低机动与较低攻击；减伤只在指定阶段/方向生效，不靠永久高血硬拖。 均为F1标准波新设计测试值，不是源原值。</x:v>
      </x:c>
    </x:row>
    <x:row r="39" ht="117" customHeight="1">
      <x:c r="A39" s="16" t="str">
        <x:v>MON_N034</x:v>
      </x:c>
      <x:c r="B39" s="16" t="str">
        <x:v>横步盾卒</x:v>
      </x:c>
      <x:c r="C39" s="16" t="str">
        <x:v>改变枪位而保持盾向，区别于精英的每周期转盾90度及N033原地守刺。</x:v>
      </x:c>
      <x:c r="D39" s="16" t="str">
        <x:v>1. guard 1回合：完整预告一玩家回合30%正面守势与横移路线，盾朝向不转动。
2. relocate 1回合：执行最多1格横移且不攻击，保持原朝向；随后显示新枪位。
3. telegraph 1回合：从新位置完整预告1格范围60度短刺一玩家回合，此时撤销守势。
4. execute 1回合：只执行该锁定短刺一次。
5. recover 1回合：恢复一轮。</x:v>
      </x:c>
      <x:c r="E39" s="16" t="str">
        <x:v>周期起点朝英雄旧位置锁定盾和枪轴；横移选该轴左侧1格，下一周期换右侧，非法则停步；同候选按坐标和instanceId。
本玩家回合输入开放前冻结计划路线、攻击朝向、中心和目标点；需要完整预告的动作按cycle等待。玩家发射后不追瞄、不因最终停点改方案。固体阻挡导致原计划不可执行时停止或取消，不瞬移改点。</x:v>
      </x:c>
      <x:c r="F39" s="16" t="str">
        <x:v>guard_angle_degrees = 90
temporary_damage_reduction_ratio = 0.3
sidestep_tiles = 1
sidestep_order = ["left","right"]
stab_angle_degrees = 60</x:v>
      </x:c>
      <x:c r="G39" s="16" t="str">
        <x:v>可以趁横移到新预告之间打侧背；盾面不会转向追着你的反弹路线走。</x:v>
      </x:c>
      <x:c r="H39" s="16" t="str">
        <x:v>守势90度、减伤来源0.3，只有guard/relocate阶段；横移1格左右轮替；刺击60度、1格；阶段结束清来源并遵守项目75%总上限。 每敌方阶段最多1次伤害动作；同一动作多图形命中只取最高一次伤害；移动接触不追加未预告伤害；死亡取消未执行动作。
硬禁配：按全局约束
组合风险：横移不得把盾卒挤到不可碰撞区域；不同盾面与远程危险区不能联合消灭所有安全停点。；整段敌方响应合并后仍须有实际弹射可达且有角度余量的安全终点，不能只逐怪检查安全区。</x:v>
      </x:c>
      <x:c r="I39" s="16" t="str">
        <x:v>保存位置变化与独立朝向，来源生命周期覆盖明确阶段；不继承重生傀儡复活或首领脚本。 新AI编排、预告与真实消费者连接均待实现；source_visual_row只作外观复用候选，不继承原行Boss标签或未指定技能，不代表已有独立美术。
验收：横移后盾/枪朝向角保持原值；英雄绕到侧后不允许触发正面减伤，刺击必须在新枪位完整预告后执行。</x:v>
      </x:c>
      <x:c r="J39" s="16" t="str">
        <x:v>参照75HP/8攻击的项目守卫基准，防御姿态换低机动与较低攻击；减伤只在指定阶段/方向生效，不靠永久高血硬拖。 均为F1标准波新设计测试值，不是源原值。</x:v>
      </x:c>
    </x:row>
    <x:row r="40" ht="117" customHeight="1">
      <x:c r="A40" s="14" t="str">
        <x:v>MON_N035</x:v>
      </x:c>
      <x:c r="B40" s="14" t="str">
        <x:v>折盾突卫</x:v>
      </x:c>
      <x:c r="C40" s="14" t="str">
        <x:v>正面减伤只有每周期第一笔合格直接伤害，随后露出完整输出窗口；没有无限盾值。</x:v>
      </x:c>
      <x:c r="D40" s="14" t="str">
        <x:v>1. guard 1回合：完整显示一玩家回合仅1次的正面守势；第一笔合格正面直接伤害应用35%减伤后立即熄盾，不产生反击。
2. telegraph 1回合：撤去残余守势，完整预告下一玩家回合的1格短突。
3. execute 1回合：执行锁定短突一次，受阻停止。
4. recover 1回合：恢复一轮后才重置下周期的1次守势。</x:v>
      </x:c>
      <x:c r="E40" s="14" t="str">
        <x:v>朝预告时英雄位置锁定120度盾面及1格短突路径；首笔守势资格按真实提交伤害事件顺序，平序按eventId。
本玩家回合输入开放前冻结计划路线、攻击朝向、中心和目标点；需要完整预告的动作按cycle等待。玩家发射后不追瞄、不因最终停点改方案。固体阻挡导致原计划不可执行时停止或取消，不瞬移改点。</x:v>
      </x:c>
      <x:c r="F40" s="14" t="str">
        <x:v>guard_angle_degrees = 120
temporary_damage_reduction_ratio = 0.35
guarded_hits_per_cycle = 1
lunge_width_tiles = 0.6</x:v>
      </x:c>
      <x:c r="G40" s="14" t="str">
        <x:v>用一次基础碰撞剥掉守势后继续输出；也可直接绕背，让守势完全不参与伤害。</x:v>
      </x:c>
      <x:c r="H40" s="14" t="str">
        <x:v>每周期1笔守势、120度、来源0.35；短突1格宽0.6格；熄盾不反伤，未用额度不跨周期累加。 每敌方阶段最多1次伤害动作；同一动作多图形命中只取最高一次伤害；移动接触不追加未预告伤害；死亡取消未执行动作。
硬禁配：按全局约束
组合风险：不能通过治疗/换目标/读档重置单次额度；与其他防御来源叠加需遵守总减免上限。；整段敌方响应合并后仍须有实际弹射可达且有角度余量的安全终点，不能只逐怪检查安全区。</x:v>
      </x:c>
      <x:c r="I40" s="14" t="str">
        <x:v>按eventId保存已消耗守势布尔值并只修饰对应一次既有减伤来源；无新增耐盾属性。 新AI编排、预告与真实消费者连接均待实现；source_visual_row只作外观复用候选，不继承原行Boss标签或未指定技能，不代表已有独立美术。
验收：同周期两笔相同正面直接伤害：第一笔受守势减免，第二笔不受；读档继续第二笔也不能恢复首笔额度。</x:v>
      </x:c>
      <x:c r="J40" s="14" t="str">
        <x:v>参照75HP/8攻击的项目守卫基准，防御姿态换低机动与较低攻击；减伤只在指定阶段/方向生效，不靠永久高血硬拖。 均为F1标准波新设计测试值，不是源原值。</x:v>
      </x:c>
    </x:row>
    <x:row r="41" ht="117" customHeight="1">
      <x:c r="A41" s="16" t="str">
        <x:v>MON_N036</x:v>
      </x:c>
      <x:c r="B41" s="16" t="str">
        <x:v>侧盾夹卫</x:v>
      </x:c>
      <x:c r="C41" s="16" t="str">
        <x:v>防御面是左右两片而非正面，反制方向与本族基线相反。</x:v>
      </x:c>
      <x:c r="D41" s="16" t="str">
        <x:v>1. guard 1回合：完整显示一玩家回合左右各60度守势，侧向直接伤害应用30%减伤；前后没有本来源。
2. telegraph 1回合：两侧守势撤销，完整预告一玩家回合正前方45度、1格短刺。
3. execute 1回合：执行正面短刺一次。
4. recover 1回合：恢复一轮。</x:v>
      </x:c>
      <x:c r="E41" s="16" t="str">
        <x:v>周期起点朝英雄旧位置锁定身体前轴；左右盾中轴相对前轴±90度，正面短刺仍沿原前轴，全部冻结。
本玩家回合输入开放前冻结计划路线、攻击朝向、中心和目标点；需要完整预告的动作按cycle等待。玩家发射后不追瞄、不因最终停点改方案。固体阻挡导致原计划不可执行时停止或取消，不瞬移改点。</x:v>
      </x:c>
      <x:c r="F41" s="16" t="str">
        <x:v>guard_heading_offsets_degrees = [-90,90]
guard_angle_degrees = 60
temporary_damage_reduction_ratio = 0.3
stab_angle_degrees = 45</x:v>
      </x:c>
      <x:c r="G41" s="16" t="str">
        <x:v>守势阶段可从正面基础碰撞打穿空门；刺击阶段再把停点留到前扇之外。</x:v>
      </x:c>
      <x:c r="H41" s="16" t="str">
        <x:v>两片侧盾中轴±90度、各60度、来源0.3；同一伤害方向即使边界触及两片也只添加一次减伤来源；正刺45度。 每敌方阶段最多1次伤害动作；同一动作多图形命中只取最高一次伤害；移动接触不追加未预告伤害；死亡取消未执行动作。
硬禁配：按全局约束
组合风险：与普通正面盾卒并排时不能组成所有入射方向都被高减免覆盖的不可拆墙。；整段敌方响应合并后仍须有实际弹射可达且有角度余量的安全终点，不能只逐怪检查安全区。</x:v>
      </x:c>
      <x:c r="I41" s="16" t="str">
        <x:v>方向并集匹配后只添加一个既有减伤来源，阶段切换清理；总75%封顶作为项目适配。 新AI编排、预告与真实消费者连接均待实现；source_visual_row只作外观复用候选，不继承原行Boss标签或未指定技能，不代表已有独立美术。
验收：守势阶段从正前方输入伤害不得减免；从左侧只减免一次；转入刺击阶段左右都不能残留该来源。</x:v>
      </x:c>
      <x:c r="J41" s="16" t="str">
        <x:v>参照75HP/8攻击的项目守卫基准，防御姿态换低机动与较低攻击；减伤只在指定阶段/方向生效，不靠永久高血硬拖。 均为F1标准波新设计测试值，不是源原值。</x:v>
      </x:c>
    </x:row>
    <x:row r="42" ht="117" customHeight="1">
      <x:c r="A42" s="14" t="str">
        <x:v>MON_N037</x:v>
      </x:c>
      <x:c r="B42" s="14" t="str">
        <x:v>开合螺卫</x:v>
      </x:c>
      <x:c r="C42" s="14" t="str">
        <x:v>守势与输出严格分开：开壳先留完整受击窗口，再打周围圆圈；不同于持盾短刺。</x:v>
      </x:c>
      <x:c r="D42" s="14" t="str">
        <x:v>1. guard 1回合：合壳一轮，正面90度应用30%既有减伤来源；明确显示本轮不攻击。
2. telegraph 1回合：开壳并完全移除守势来源，完整显示一玩家回合半径1.25格近圈预告。
3. execute 1回合：在固定中心近击一次，仍为开壳无守势。
4. recover 1回合：保持开壳恢复一轮，随后才回合壳阶段。</x:v>
      </x:c>
      <x:c r="E42" s="14" t="str">
        <x:v>合壳开始朝英雄旧位置锁定90度正面守势；开壳攻击中心固定为自身当时位置，不随英雄最终停点移动。
本玩家回合输入开放前冻结计划路线、攻击朝向、中心和目标点；需要完整预告的动作按cycle等待。玩家发射后不追瞄、不因最终停点改方案。固体阻挡导致原计划不可执行时停止或取消，不瞬移改点。</x:v>
      </x:c>
      <x:c r="F42" s="14" t="str">
        <x:v>closed_guard_angle_degrees = 90
temporary_damage_reduction_ratio = 0.3
open_attack_radius_tiles = 1.25
guarded_phases = ["guard"]</x:v>
      </x:c>
      <x:c r="G42" s="14" t="str">
        <x:v>用基础碰撞打合壳侧背，或把主要输出留到开壳预告和恢复阶段；停点避开即将亮起的近圈。</x:v>
      </x:c>
      <x:c r="H42" s="14" t="str">
        <x:v>合壳守势90度、来源0.3；开壳攻击半径1.25格、倍率1；只有guard阶段保留防御来源，总减免遵守项目75%适配上限。 每敌方阶段最多1次伤害动作；同一动作多图形命中只取最高一次伤害；移动接触不追加未预告伤害；死亡取消未执行动作。
硬禁配：按全局约束
组合风险：不能让其他怪把开壳期间所有接近与脱离路径封死；防御状态不允许与治疗无限循环抵消基础碰撞。；整段敌方响应合并后仍须有实际弹射可达且有角度余量的安全终点，不能只逐怪检查安全区。</x:v>
      </x:c>
      <x:c r="I42" s="14" t="str">
        <x:v>保存开合阶段，切换时按来源全量移除既有伤害减免修饰；不通过关闭碰撞或隐藏无敌表现合壳。 新AI编排、预告与真实消费者连接均待实现；source_visual_row只作外观复用候选，不继承原行Boss标签或未指定技能，不代表已有独立美术。
验收：从guard切到telegraph后，正面同一笔伤害不再获得30%减免；开壳预告必须给完整玩家回合后才发生一次圆击。</x:v>
      </x:c>
      <x:c r="J42" s="14" t="str">
        <x:v>以项目75HP/8伤害守卫参照控制开合怪的基础耐久；防御收益换完整无攻击/暴露阶段。N038用较低HP与有限强固交换远程输出，N039降低HP换较高近击，均不是源原值。</x:v>
      </x:c>
    </x:row>
    <x:row r="43" ht="132" customHeight="1">
      <x:c r="A43" s="16" t="str">
        <x:v>MON_N038</x:v>
      </x:c>
      <x:c r="B43" s="16" t="str">
        <x:v>聚壳晶螺</x:v>
      </x:c>
      <x:c r="C43" s="16" t="str">
        <x:v>防御来自有限强固生成，而非开合时直接百分比减伤；强固消耗沿既有半分担消费者。</x:v>
      </x:c>
      <x:c r="D43" s="16" t="str">
        <x:v>1. guard 1回合：合壳不攻击；若本场生成次数未满3，按本次fortify生成量补入强固，但存量最多该生成量的1.5倍，计一次生成机会。
2. telegraph 1回合：开壳，完整预告一玩家回合最长3格、宽0.3格射线；已有强固存量照常保留和消耗。
3. execute 1回合：沿已锁定方向射击一次，实墙截断。
4. recover 1回合：恢复一轮；生成机会耗尽后再合壳也不继续补强固。</x:v>
      </x:c>
      <x:c r="E43" s="16" t="str">
        <x:v>合壳强固只作用自身；开壳预告时朝英雄旧位置锁定3格射线，之后不追瞄。
本玩家回合输入开放前冻结计划路线、攻击朝向、中心和目标点；需要完整预告的动作按cycle等待。玩家发射后不追瞄、不因最终停点改方案。固体阻挡导致原计划不可执行时停止或取消，不瞬移改点。</x:v>
      </x:c>
      <x:c r="F43" s="16" t="str">
        <x:v>fortify_generations_per_battle = 3
stored_fortify_cap_multiplier = 1.5
ray_width_tiles = 0.3</x:v>
      </x:c>
      <x:c r="G43" s="16" t="str">
        <x:v>趁不攻击阶段撞击；强固只能分担伤害，基础碰撞始终有机会削生命，不要求破甲装备。</x:v>
      </x:c>
      <x:c r="H43" s="16" t="str">
        <x:v>base fortify=16为F1单次生成测试量；本场最多3次生成。存量上限=缩放后单次生成量×1.5，F1为24；已高于上限时仅不再补，不删外来强固。强固减伤%须项目显式初始化0.5，绝非100%盾。 每敌方阶段最多1次伤害动作；同一动作多图形命中只取最高一次伤害；移动接触不追加未预告伤害；死亡取消未执行动作。
硬禁配：按全局约束
组合风险：远程伤害源总数≤2；与外部强固支援同队时不得让自铸上限误削外来存量，也不能借外援重置3次机会。；整段敌方响应合并后仍须有实际弹射可达且有角度余量的安全终点，不能只逐怪检查安全区。</x:v>
      </x:c>
      <x:c r="I43" s="16" t="str">
        <x:v>先创建既有强固减伤%键并初始化0.5，再调用既有强固消费者；记录生成次数，按实际当前护甲值限制新增量；缺键必须验证失败。 新AI编排、预告与真实消费者连接均待实现；source_visual_row只作外观复用候选，不继承原行Boss标签或未指定技能，不代表已有独立美术。
验收：F1已有强固20且单次生成量16时仅新增4；HP60、强固16、q=0.5承受含护甲伤害30后应HP45、强固1；第四次合壳不得再补。</x:v>
      </x:c>
      <x:c r="J43" s="16" t="str">
        <x:v>以项目75HP/8伤害守卫参照控制开合怪的基础耐久；防御收益换完整无攻击/暴露阶段。N038用较低HP与有限强固交换远程输出，N039降低HP换较高近击，均不是源原值。</x:v>
      </x:c>
    </x:row>
    <x:row r="44" ht="117" customHeight="1">
      <x:c r="A44" s="14" t="str">
        <x:v>MON_N039</x:v>
      </x:c>
      <x:c r="B44" s="14" t="str">
        <x:v>翻腹袭者</x:v>
      </x:c>
      <x:c r="C44" s="14" t="str">
        <x:v>周期从暴露攻击开始，随后退走并防御；与先合壳再开火的其他姿态变体顺序相反。</x:v>
      </x:c>
      <x:c r="D44" s="14" t="str">
        <x:v>1. move_melee 1回合：敞腹且无守势，显示旧位置0.75格近击圈；敌方阶段只对该圈近击一次，不先追近。
2. recover 1回合：合壳并应用25%既有一般减伤来源，按已显示路线无伤后撤最多1.5格；本阶段不攻击。
3. telegraph 1回合：再次开壳并撤销减伤，保持一完整玩家回合不攻击，显示下一次原地近击圈。</x:v>
      </x:c>
      <x:c r="E44" s="14" t="str">
        <x:v>本轮输入开放前锁定自身0.75格近击圈及背离英雄旧位置的最多1.5格退路；后撤阻挡时停止，不换方向追人。
本玩家回合输入开放前冻结计划路线、攻击朝向、中心和目标点；需要完整预告的动作按cycle等待。玩家发射后不追瞄、不因最终停点改方案。固体阻挡导致原计划不可执行时停止或取消，不瞬移改点。</x:v>
      </x:c>
      <x:c r="F44" s="14" t="str">
        <x:v>open_attack_radius_tiles = 0.75
retreat_tiles = 1.5
temporary_damage_reduction_ratio = 0.25
guarded_phases = ["recover"]</x:v>
      </x:c>
      <x:c r="G44" s="14" t="str">
        <x:v>优先撞它敞腹时，停到旧圈外；它后撤不造成接触伤害，也不会偷你的金币。</x:v>
      </x:c>
      <x:c r="H44" s="14" t="str">
        <x:v>近击半径0.75格、退距最多1.5格；后撤伤害为0；仅recover阶段添加0.25减伤，下一开壳清除；不继承盗宝机制。 每敌方阶段最多1次伤害动作；同一动作多图形命中只取最高一次伤害；移动接触不追加未预告伤害；死亡取消未执行动作。
硬禁配：按全局约束
组合风险：后撤落点不得进入不可触达空间；与控制者配合不能在玩家追近时全路线强制收伤。；整段敌方响应合并后仍须有实际弹射可达且有角度余量的安全终点，不能只逐怪检查安全区。</x:v>
      </x:c>
      <x:c r="I44" s="14" t="str">
        <x:v>攻击与无伤后撤分阶段，姿态来源保存/移除；不用关闭实体碰撞模拟退壳，项目75%上限另行适配。 新AI编排、预告与真实消费者连接均待实现；source_visual_row只作外观复用候选，不继承原行Boss标签或未指定技能，不代表已有独立美术。
验收：英雄停在退路上，后撤应受阻且不伤害/偷钱；从recover进入telegraph时相同直接伤害不再享受25%减免。</x:v>
      </x:c>
      <x:c r="J44" s="14" t="str">
        <x:v>以项目75HP/8伤害守卫参照控制开合怪的基础耐久；防御收益换完整无攻击/暴露阶段。N038用较低HP与有限强固交换远程输出，N039降低HP换较高近击，均不是源原值。</x:v>
      </x:c>
    </x:row>
    <x:row r="45" ht="117" customHeight="1">
      <x:c r="A45" s="16" t="str">
        <x:v>MON_N040</x:v>
      </x:c>
      <x:c r="B45" s="16" t="str">
        <x:v>两面蛹卫</x:v>
      </x:c>
      <x:c r="C45" s="16" t="str">
        <x:v>防御面与攻击面相反，要求玩家分清当前姿态；不是转朝英雄同时保住防御。</x:v>
      </x:c>
      <x:c r="D45" s="16" t="str">
        <x:v>1. guard 1回合：合面一轮：只有锁定正面90度有30%既有减伤，本轮不攻击。
2. telegraph 1回合：展开撤销守势，完整预告一玩家回合身后150度、1.5格扫击扇；正前方此时透明安全。
3. execute 1回合：只执行已锁定背向扇区一次近扫。
4. recover 1回合：开壳恢复一轮，下周期才重新选前向。</x:v>
      </x:c>
      <x:c r="E45" s="16" t="str">
        <x:v>合壳周期朝英雄旧位置锁定前轴，守势位于前方90度；展开攻击轴固定反向180度，整个周期不再追瞄。
本玩家回合输入开放前冻结计划路线、攻击朝向、中心和目标点；需要完整预告的动作按cycle等待。玩家发射后不追瞄、不因最终停点改方案。固体阻挡导致原计划不可执行时停止或取消，不瞬移改点。</x:v>
      </x:c>
      <x:c r="F45" s="16" t="str">
        <x:v>closed_guard_angle_degrees = 90
temporary_damage_reduction_ratio = 0.3
open_attack_heading_offset_degrees = 180
open_attack_angle_degrees = 150</x:v>
      </x:c>
      <x:c r="G45" s="16" t="str">
        <x:v>合壳时可撞侧背，展开后则改停正面；不要把“绕背总安全”当固定答案。</x:v>
      </x:c>
      <x:c r="H45" s="16" t="str">
        <x:v>正面守势90度/0.3，展开攻击反向180度、扇角150度、半径1.5格；攻击期无守势；阶段转换不带额外震击或反伤。 每敌方阶段最多1次伤害动作；同一动作多图形命中只取最高一次伤害；移动接触不追加未预告伤害；死亡取消未执行动作。
硬禁配：按全局约束
组合风险：与正面扇怪联动时不得把前后全部可达停点覆盖；姿态图标和真正伤害箭头必须区分。；整段敌方响应合并后仍须有实际弹射可达且有角度余量的安全终点，不能只逐怪检查安全区。</x:v>
      </x:c>
      <x:c r="I45" s="16" t="str">
        <x:v>防御朝向与伤害朝向独立保存，沿既有减伤/伤害消费者执行；不继承源行复生或首领范围技能。 新AI编排、预告与真实消费者连接均待实现；source_visual_row只作外观复用候选，不继承原行Boss标签或未指定技能，不代表已有独立美术。
验收：展开时英雄位于原正前方1格应不受背扫伤害且攻击它不再被守势减免；原背后1格则只承受一次扫击。</x:v>
      </x:c>
      <x:c r="J45" s="16" t="str">
        <x:v>以项目75HP/8伤害守卫参照控制开合怪的基础耐久；防御收益换完整无攻击/暴露阶段。N038用较低HP与有限强固交换远程输出，N039降低HP换较高近击，均不是源原值。</x:v>
      </x:c>
    </x:row>
    <x:row r="46" ht="102" customHeight="1">
      <x:c r="A46" s="14" t="str">
        <x:v>MON_N041</x:v>
      </x:c>
      <x:c r="B46" s="14" t="str">
        <x:v>缝血水母</x:v>
      </x:c>
      <x:c r="C46" s="14" t="str">
        <x:v>只锁一名最低生命比例同伴，不覆盖区域、不连续多次治疗。</x:v>
      </x:c>
      <x:c r="D46" s="14" t="str">
        <x:v>1. telegraph 1回合：公开锁定治疗目标，给一个完整玩家回合。
2. support 1回合：仅对该目标施放一次heal；无效则空过，不追补普攻。
3. recover 1回合：停止支援；按1格移动包络向英雄靠近但不攻击。</x:v>
      </x:c>
      <x:c r="E46" s="14" t="str">
        <x:v>3格内缺血且非自己的初始敌人，HP比例升序，再按稳定ID。
预告时锁目标ID和其位置；执行只检查同一目标仍存活且距施法者≤3，失效不换人。</x:v>
      </x:c>
      <x:c r="F46" s="14" t="str">
        <x:v>cast_attempts_max = 4
targets_max = 1
fallback_melee_ratio = 1
fallback_move_tiles = 1</x:v>
      </x:c>
      <x:c r="G46" s="14" t="str">
        <x:v>趁治疗预告用基础碰撞击杀施法者或被标记目标。</x:v>
      </x:c>
      <x:c r="H46" s="14" t="str">
        <x:v>不自疗、不超最大HP；每次施法尝试无论成功或目标失效均消耗次数；次数耗尽后下个玩家回合前显示1格追击包络，再用1倍基础伤害接触攻击。 每敌方阶段最多一次伤害动作；同动作多区域命中只取最高一次。 所有追击在玩家发射前锁定并显示路径、终点与攻击包络；不得按最终停点重新寻路，真实路径被挡即截断并取消到不了的攻击。
硬禁配：F14、F15、F16
组合风险：治疗者同队上限1；与孵化、分裂、复生家族硬禁。</x:v>
      </x:c>
      <x:c r="I46" s="14" t="str">
        <x:v>需要同伴治愈目标、锁定点、有限次数AI；调用原HP/DOT治愈消费者并关闭未声明会心。 源RowName仅是外观复用候选；以上数值与AI都是项目新测试设计，runtime未验证。
验收：A为20/100HP、B为15/50HP时锁A；预告后击杀A，执行不得转治B；目标存活且无DOT时治疗10、最多回到上限。</x:v>
      </x:c>
      <x:c r="J46" s="14" t="str">
        <x:v>参照42HP/4伤害/10治疗的原6种项目测试治疗模板；有限治疗换低直接伤害，数值不是源原值。</x:v>
      </x:c>
    </x:row>
    <x:row r="47" ht="117" customHeight="1">
      <x:c r="A47" s="16" t="str">
        <x:v>MON_N042</x:v>
      </x:c>
      <x:c r="B47" s="16" t="str">
        <x:v>环缝水母</x:v>
      </x:c>
      <x:c r="C47" s="16" t="str">
        <x:v>锁圆区而非跟随两个目标；最多两人各治6，不是把一个总治疗量分流。</x:v>
      </x:c>
      <x:c r="D47" s="16" t="str">
        <x:v>1. telegraph 1回合：显示固定治疗圆区和当时可能受益者。
2. support 1回合：给仍处圆区内的至多2名缺血同伴各施heal一次。
3. recover 2回合：两个敌方阶段不再施法，只按公开0.5格包络移动。</x:v>
      </x:c>
      <x:c r="E47" s="16" t="str">
        <x:v>在3格内缺血同伴中选距自己最近者为圆心候选，距离同则稳定ID；执行区内按HP比例再ID取最多2名。
预告时固定圆心和0.8格半径；圆区不随同伴或英雄移动。</x:v>
      </x:c>
      <x:c r="F47" s="16" t="str">
        <x:v>radius_tiles = 0.8
targets_max = 2
cast_attempts_max = 3
fallback_melee_ratio = 1
fallback_move_tiles = 0.5</x:v>
      </x:c>
      <x:c r="G47" s="16" t="str">
        <x:v>先撞杀圆区内一个目标，或优先击杀脆弱施法者；离开圆区的同伴不会被追补。</x:v>
      </x:c>
      <x:c r="H47" s="16" t="str">
        <x:v>不自疗、不超最大HP；每次施法尝试无论成功或目标失效均消耗次数；次数耗尽后下个玩家回合前显示0.5格追击包络，再用1倍基础伤害接触攻击。 每敌方阶段最多一次伤害动作；同动作多区域命中只取最高一次。 所有追击在玩家发射前锁定并显示路径、终点与攻击包络；不得按最终停点重新寻路，真实路径被挡即截断并取消到不了的攻击。
硬禁配：F14、F15、F16
组合风险：治疗与孵化/分裂/复生硬禁；不与第二治疗者同队。</x:v>
      </x:c>
      <x:c r="I47" s="16" t="str">
        <x:v>需要同伴治愈目标、锁定点、有限次数AI；调用原HP/DOT治愈消费者并关闭未声明会心。 源RowName仅是外观复用候选；以上数值与AI都是项目新测试设计，runtime未验证。
验收：圆心(2,2)，A距圆心0.5格、B距1格；执行只治A；若B进到0.7格则两者各治6，第三个目标不治疗。</x:v>
      </x:c>
      <x:c r="J47" s="16" t="str">
        <x:v>参照42HP/4伤害/10治疗的原6种项目测试治疗模板；有限治疗换低直接伤害，数值不是源原值。</x:v>
      </x:c>
    </x:row>
    <x:row r="48" ht="102" customHeight="1">
      <x:c r="A48" s="14" t="str">
        <x:v>MON_N043</x:v>
      </x:c>
      <x:c r="B48" s="14" t="str">
        <x:v>巡诊脑</x:v>
      </x:c>
      <x:c r="C48" s="14" t="str">
        <x:v>治疗范围只有1格，先走向固定会合点再预告，存在可阻断的行走阶段。</x:v>
      </x:c>
      <x:c r="D48" s="14" t="str">
        <x:v>1. relocate 1回合：沿公开路径向会合点移动最多1.5格，不攻击；两次仍不能接近则该次尝试失败。
2. telegraph 1回合：若目标仍在1格内，公开近身治疗；否则本次空过。
3. support 1回合：对原目标施heal一次，目标离开1格或死亡则落空。
4. recover 1回合：停诊一阶段后重新选择会合对象。</x:v>
      </x:c>
      <x:c r="E48" s="14" t="str">
        <x:v>全场缺失HP绝对值最多的另一初始敌人；并列稳定ID；选其最近合法相邻空位，坐标并列y再x。
会合点在移动前固定；到位后再锁一次治疗目标，之后不改点、不改人。</x:v>
      </x:c>
      <x:c r="F48" s="14" t="str">
        <x:v>rendezvous_search_tiles = 4
cast_attempts_max = 3
fallback_melee_ratio = 1
fallback_move_tiles = 1
approach_phases_max = 2</x:v>
      </x:c>
      <x:c r="G48" s="14" t="str">
        <x:v>在它赶路时用碰撞击杀，或先杀被会合标记的伤者。</x:v>
      </x:c>
      <x:c r="H48" s="14" t="str">
        <x:v>不自疗、不超最大HP；每次施法尝试无论成功或目标失效均消耗次数；次数耗尽后下个玩家回合前显示1格追击包络，再用1倍基础伤害接触攻击。 每敌方阶段最多一次伤害动作；同动作多区域命中只取最高一次。 所有追击在玩家发射前锁定并显示路径、终点与攻击包络；不得按最终停点重新寻路，真实路径被挡即截断并取消到不了的攻击。
硬禁配：F14、F15、F16
组合风险：治疗与孵化/分裂/复生硬禁；窄道必须给其合法路径，不用穿墙接近。</x:v>
      </x:c>
      <x:c r="I48" s="14" t="str">
        <x:v>需要同伴治愈目标、锁定点、有限次数AI；调用原HP/DOT治愈消费者并关闭未声明会心。 需要可达会合点和有限接近阶段。 源RowName仅是外观复用候选；以上数值与AI都是项目新测试设计，runtime未验证。
验收：A缺30HP且离3格，B缺20HP且离1格：先走向A的会合点，不能原地治B；A在施法前离开1格则本次不生效。</x:v>
      </x:c>
      <x:c r="J48" s="14" t="str">
        <x:v>参照42HP/4伤害/10治疗的原6种项目测试治疗模板；有限治疗换低直接伤害，数值不是源原值。</x:v>
      </x:c>
    </x:row>
    <x:row r="49" ht="117" customHeight="1">
      <x:c r="A49" s="16" t="str">
        <x:v>MON_N044</x:v>
      </x:c>
      <x:c r="B49" s="16" t="str">
        <x:v>续针脑</x:v>
      </x:c>
      <x:c r="C49" s="16" t="str">
        <x:v>同一固定目标分两次各5，第二次单独预告；不自动换目标或在同阶段双疗。</x:v>
      </x:c>
      <x:c r="D49" s="16" t="str">
        <x:v>1. telegraph 1回合：显示第一针目标。
2. support 1回合：对锁定目标治疗heal一次。
3. telegraph 1回合：再次显示同一目标的第二针；目标已死则整次剩余步骤空过。
4. support 1回合：对仍合法的原目标再治疗heal一次。
5. recover 1回合：结束本次双针序列。</x:v>
      </x:c>
      <x:c r="E49" s="16" t="str">
        <x:v>3格内HP比例最低的另一初始敌人；并列稳定ID。
第一轮锁目标ID；两次治疗都只认该ID；第二轮重新显示同一目标，不重新选人。</x:v>
      </x:c>
      <x:c r="F49" s="16" t="str">
        <x:v>pulses_per_sequence = 2
pulse_attempts_max = 6
fallback_melee_ratio = 1
fallback_move_tiles = 0.5</x:v>
      </x:c>
      <x:c r="G49" s="16" t="str">
        <x:v>第一针后仍有完整玩家回合，可用普通碰撞杀掉施法者或受疗者阻断第二针。</x:v>
      </x:c>
      <x:c r="H49" s="16" t="str">
        <x:v>不自疗、不超最大HP；每次施法尝试无论成功或目标失效均消耗次数；次数耗尽后下个玩家回合前显示0.5格追击包络，再用1倍基础伤害接触攻击。 每敌方阶段最多一次伤害动作；同动作多区域命中只取最高一次。 所有追击在玩家发射前锁定并显示路径、终点与攻击包络；不得按最终停点重新寻路，真实路径被挡即截断并取消到不了的攻击。
硬禁配：F14、F15、F16
组合风险：治疗与孵化/分裂/复生硬禁；不与其他治疗者同队。</x:v>
      </x:c>
      <x:c r="I49" s="16" t="str">
        <x:v>需要同伴治愈目标、锁定点、有限次数AI；调用原HP/DOT治愈消费者并关闭未声明会心。 需要逐针次数与固定目标序列。 源RowName仅是外观复用候选；以上数值与AI都是项目新测试设计，runtime未验证。
验收：目标20/100HP无DOT，第一针后25；下一玩家回合击杀施法者，第二针必须取消，不能一次结算成30。</x:v>
      </x:c>
      <x:c r="J49" s="16" t="str">
        <x:v>参照42HP/4伤害/10治疗的原6种项目测试治疗模板；有限治疗换低直接伤害，数值不是源原值。</x:v>
      </x:c>
    </x:row>
    <x:row r="50" ht="102" customHeight="1">
      <x:c r="A50" s="14" t="str">
        <x:v>MON_N045</x:v>
      </x:c>
      <x:c r="B50" s="14" t="str">
        <x:v>授甲晶簇</x:v>
      </x:c>
      <x:c r="C50" s="14" t="str">
        <x:v>按当前强固存量选单人，既不区域授甲也不分次交付。</x:v>
      </x:c>
      <x:c r="D50" s="14" t="str">
        <x:v>1. telegraph 1回合：连线标记唯一授甲对象。
2. support 1回合：给同一对象一次fortify。
3. recover 1回合：不授甲，公开移动包络。</x:v>
      </x:c>
      <x:c r="E50" s="14" t="str">
        <x:v>3格内另一初始敌人按当前强固存量升序、距施法者升序、稳定ID选一名。
预告锁定目标ID；执行要求该目标仍存活且距≤3，不重新选择最低强固者。</x:v>
      </x:c>
      <x:c r="F50" s="14" t="str">
        <x:v>cast_attempts_max = 3
targets_max = 1
fallback_melee_ratio = 1
fallback_move_tiles = 1</x:v>
      </x:c>
      <x:c r="G50" s="14" t="str">
        <x:v>预告期间撞杀晶簇，或利用其低伤先击破被护目标。</x:v>
      </x:c>
      <x:c r="H50" s="14" t="str">
        <x:v>授甲次数按尝试消耗，目标失效不转给别人；强固进入当前护甲值并随伤害消耗，战后清空。施法耗尽后仅在下一阶段预览1格接触攻击，倍率1。 每敌方阶段最多一次伤害动作；同动作多区域命中只取最高一次。 所有追击在玩家发射前锁定并显示路径、终点与攻击包络；不得按最终停点重新寻路，真实路径被挡即截断并取消到不了的攻击。
硬禁配：F13
组合风险：强固支援与号令支援合计最多1，不能和F13同队。</x:v>
      </x:c>
      <x:c r="I50" s="14" t="str">
        <x:v>需同伴强固AI；所有受益敌人显式初始化既有强固减伤%=0.5，再调原强固池消费者，不是100%盾；固定支援量不使用未声明会心。 源RowName仅是外观复用候选；以上数值与AI都是项目新测试设计，runtime未验证。
验收：A强固0、B强固8时锁A；授甲后A为12。基准D20且q=.5时A损失10HP、剩强固2，不得全额吸收。</x:v>
      </x:c>
      <x:c r="J50" s="14" t="str">
        <x:v>参照75HP/8伤害守卫与42HP/4伤害辅助测试模板，授甲收益用低攻击和有限施法换取；强固量不是源敌人原值。</x:v>
      </x:c>
    </x:row>
    <x:row r="51" ht="117" customHeight="1">
      <x:c r="A51" s="16" t="str">
        <x:v>MON_N046</x:v>
      </x:c>
      <x:c r="B51" s="16" t="str">
        <x:v>邻甲晶簇</x:v>
      </x:c>
      <x:c r="C51" s="16" t="str">
        <x:v>固定自体附近圆区，对至多2名同伴同时各授8；圈外即使更虚弱也不会获得强固。</x:v>
      </x:c>
      <x:c r="D51" s="16" t="str">
        <x:v>1. telegraph 1回合：显示授甲圆区。
2. support 1回合：圆区内至多2名同伴各获得fortify一次。
3. recover 2回合：两阶段不能再次授甲。</x:v>
      </x:c>
      <x:c r="E51" s="16" t="str">
        <x:v>预告圆区内的其他初始敌人，执行按到圆心距离再稳定ID取至多2名。
预告时把施法者当前位置锁为圆心；半径1.5格，执行不跟着施法者移动。</x:v>
      </x:c>
      <x:c r="F51" s="16" t="str">
        <x:v>radius_tiles = 1.5
targets_max = 2
cast_attempts_max = 3
fallback_melee_ratio = 1
fallback_move_tiles = 0.5</x:v>
      </x:c>
      <x:c r="G51" s="16" t="str">
        <x:v>用碰撞优先清理圈内脆弱同伴；利用圈外路线逼它追击，授甲不会追人。</x:v>
      </x:c>
      <x:c r="H51" s="16" t="str">
        <x:v>授甲次数按尝试消耗，目标失效不转给别人；强固进入当前护甲值并随伤害消耗，战后清空。施法耗尽后仅在下一阶段预览0.5格接触攻击，倍率1。 每敌方阶段最多一次伤害动作；同动作多区域命中只取最高一次。 所有追击在玩家发射前锁定并显示路径、终点与攻击包络；不得按最终停点重新寻路，真实路径被挡即截断并取消到不了的攻击。
硬禁配：F13
组合风险：强固支援与号令支援合计最多1；禁止F13同队。</x:v>
      </x:c>
      <x:c r="I51" s="16" t="str">
        <x:v>需同伴强固AI；所有受益敌人显式初始化既有强固减伤%=0.5，再调原强固池消费者，不是100%盾；固定支援量不使用未声明会心。 源RowName仅是外观复用候选；以上数值与AI都是项目新测试设计，runtime未验证。
验收：A在圆心1格、B在2格时仅A获得8；三名目标都在圈内时按距离/ID最多两人各8。</x:v>
      </x:c>
      <x:c r="J51" s="16" t="str">
        <x:v>参照75HP/8伤害守卫与42HP/4伤害辅助测试模板，授甲收益用低攻击和有限施法换取；强固量不是源敌人原值。</x:v>
      </x:c>
    </x:row>
    <x:row r="52" ht="117" customHeight="1">
      <x:c r="A52" s="14" t="str">
        <x:v>MON_N047</x:v>
      </x:c>
      <x:c r="B52" s="14" t="str">
        <x:v>压线护送者</x:v>
      </x:c>
      <x:c r="C52" s="14" t="str">
        <x:v>先移动会合再施法，只有1格授甲范围；能被路径和会合目标死亡打断。</x:v>
      </x:c>
      <x:c r="D52" s="14" t="str">
        <x:v>1. relocate 1回合：沿预览路径向固定会合点走至多1格；两次仍不能到位则本次空过。
2. telegraph 1回合：显示1格内的原前排授甲对象。
3. support 1回合：合法时授fortify一次，否则空过。
4. recover 1回合：离开支援姿态。</x:v>
      </x:c>
      <x:c r="E52" s="14" t="str">
        <x:v>其他初始前排敌人中距英雄最近者，距离同则稳定ID；选其背离英雄方向最近合法邻位，坐标并列y再x。
先锁会合点，到位后对原目标显示一整回合预告；不在执行时换位或追人。</x:v>
      </x:c>
      <x:c r="F52" s="14" t="str">
        <x:v>approach_search_tiles = 4
approach_phases_max = 2
cast_attempts_max = 2
fallback_melee_ratio = 1
fallback_move_tiles = 1</x:v>
      </x:c>
      <x:c r="G52" s="14" t="str">
        <x:v>在其会合途中用基础碰撞清掉前排，让远程授甲无法成立。</x:v>
      </x:c>
      <x:c r="H52" s="14" t="str">
        <x:v>授甲次数按尝试消耗，目标失效不转给别人；强固进入当前护甲值并随伤害消耗，战后清空。施法耗尽后仅在下一阶段预览1格接触攻击，倍率1。 每敌方阶段最多一次伤害动作；同动作多区域命中只取最高一次。 所有追击在玩家发射前锁定并显示路径、终点与攻击包络；不得按最终停点重新寻路，真实路径被挡即截断并取消到不了的攻击。
硬禁配：F13
组合风险：强固支援与号令支援合计最多1；禁止F13同队；拥挤房间不能分配不可达会合点。</x:v>
      </x:c>
      <x:c r="I52" s="14" t="str">
        <x:v>需同伴强固AI；所有受益敌人显式初始化既有强固减伤%=0.5，再调原强固池消费者，不是100%盾；固定支援量不使用未声明会心。 需背向会合点可达性和有限接近阶段。 源RowName仅是外观复用候选；以上数值与AI都是项目新测试设计，runtime未验证。
验收：原目标离开到2格后施法必须失败；不能把18强固转给旁边另一个敌人。</x:v>
      </x:c>
      <x:c r="J52" s="14" t="str">
        <x:v>参照75HP/8伤害守卫与42HP/4伤害辅助测试模板，授甲收益用低攻击和有限施法换取；强固量不是源敌人原值。</x:v>
      </x:c>
    </x:row>
    <x:row r="53" ht="102" customHeight="1">
      <x:c r="A53" s="16" t="str">
        <x:v>MON_N048</x:v>
      </x:c>
      <x:c r="B53" s="16" t="str">
        <x:v>轮甲晶核</x:v>
      </x:c>
      <x:c r="C53" s="16" t="str">
        <x:v>预锁两个不同ID并依次整份授甲；不同于同阶段范围授甲或对同人拆分一份强固。</x:v>
      </x:c>
      <x:c r="D53" s="16" t="str">
        <x:v>1. telegraph 1回合：标出第一目标与后续第二目标。
2. support 1回合：第一目标仍合法则获得整份fortify。
3. telegraph 1回合：再次预告第二目标，第一份不会自动复制。
4. support 1回合：第二目标仍合法则获得整份fortify。
5. recover 1回合：本序列结束。</x:v>
      </x:c>
      <x:c r="E53" s="16" t="str">
        <x:v>3格内其他初始敌人按x坐标升序、y坐标升序、稳定ID取前2名。
开序列时锁两个ID和顺序；各次执行仅检查对应ID，不重排、不补位。</x:v>
      </x:c>
      <x:c r="F53" s="16" t="str">
        <x:v>targets_max = 2
cast_attempts_max = 4
fallback_melee_ratio = 1
fallback_move_tiles = 1</x:v>
      </x:c>
      <x:c r="G53" s="16" t="str">
        <x:v>两次授甲之间有完整玩家回合，击杀第二目标或晶核即可阻断第二份。</x:v>
      </x:c>
      <x:c r="H53" s="16" t="str">
        <x:v>授甲次数按尝试消耗，目标失效不转给别人；强固进入当前护甲值并随伤害消耗，战后清空。施法耗尽后仅在下一阶段预览1格接触攻击，倍率1。 每敌方阶段最多一次伤害动作；同动作多区域命中只取最高一次。 所有追击在玩家发射前锁定并显示路径、终点与攻击包络；不得按最终停点重新寻路，真实路径被挡即截断并取消到不了的攻击。
硬禁配：F13
组合风险：强固支援与号令支援合计最多1；禁止F13同队。</x:v>
      </x:c>
      <x:c r="I53" s="16" t="str">
        <x:v>需同伴强固AI；所有受益敌人显式初始化既有强固减伤%=0.5，再调原强固池消费者，不是100%盾；固定支援量不使用未声明会心。 需要两个不同目标的固定顺序。 源RowName仅是外观复用候选；以上数值与AI都是项目新测试设计，runtime未验证。
验收：锁A、B后第一轮只给A10；第二预告期间击杀B，下一轮不能再次给A或改选C。</x:v>
      </x:c>
      <x:c r="J53" s="16" t="str">
        <x:v>参照75HP/8伤害守卫与42HP/4伤害辅助测试模板，授甲收益用低攻击和有限施法换取；强固量不是源敌人原值。</x:v>
      </x:c>
    </x:row>
    <x:row r="54" ht="117" customHeight="1">
      <x:c r="A54" s="14" t="str">
        <x:v>MON_N049</x:v>
      </x:c>
      <x:c r="B54" s="14" t="str">
        <x:v>突击号角</x:v>
      </x:c>
      <x:c r="C54" s="14" t="str">
        <x:v>只强化最近前排下一轮的一次动作，不改攻击次数和移动距离。</x:v>
      </x:c>
      <x:c r="D54" s="14" t="str">
        <x:v>1. telegraph 1回合：标记接受号令的前排。
2. support 1回合：登记下一敌方阶段一次伤害+25%的来源。
3. recover 1回合：不重复发令，等待加成消费或到期。</x:v>
      </x:c>
      <x:c r="E54" s="14" t="str">
        <x:v>3格内另一初始frontline敌人，距施法者最近，再稳定ID。
预告锁目标ID；执行不换人；接受者下一轮的原攻击几何照常单独预告。</x:v>
      </x:c>
      <x:c r="F54" s="14" t="str">
        <x:v>temporary_damage_bonus_ratio = 0.25
cast_attempts_max = 3
buff_start = next_enemy_phase
buff_expire = after_one_damage_action_or_next_enemy_phase_end
fallback_melee_ratio = 1
fallback_move_tiles = 1</x:v>
      </x:c>
      <x:c r="G54" s="14" t="str">
        <x:v>先撞杀号角或被标记者；也可离开该前排的公开攻击范围让加成到期。</x:v>
      </x:c>
      <x:c r="H54" s="14" t="str">
        <x:v>号令从施法后的下一敌方阶段生效，确保额外一个玩家回合；同来源不叠层，领取者最多消耗一次伤害动作，未出手也在该阶段末到期。无效目标不换人；施法阶段自身不攻击。 每敌方阶段最多一次伤害动作；同动作多区域命中只取最高一次。 所有追击在玩家发射前锁定并显示路径、终点与攻击包络；不得按最终停点重新寻路，真实路径被挡即截断并取消到不了的攻击。
硬禁配：F12
组合风险：与F12强固支援硬禁；F12/F13合计最多1。</x:v>
      </x:c>
      <x:c r="I54" s="14" t="str">
        <x:v>需按来源修改既有额外伤害%并在指定动作/期限后移除；不得新增队伍攻击力或多一次行动。 源RowName仅是外观复用候选；以上数值与AI都是项目新测试设计，runtime未验证。
验收：目标原动作基础伤害8、无其他乘区时下一轮为10；本轮仍为8；下一轮落空后再下一轮必须恢复8。</x:v>
      </x:c>
      <x:c r="J54" s="14" t="str">
        <x:v>参照42HP/4伤害辅助模板；号令增加已有同伴一次输出，故自身低伤、次数有限且占支援预算；不是添加队伍新属性。</x:v>
      </x:c>
    </x:row>
    <x:row r="55" ht="132" customHeight="1">
      <x:c r="A55" s="16" t="str">
        <x:v>MON_N050</x:v>
      </x:c>
      <x:c r="B55" s="16" t="str">
        <x:v>齐射脑</x:v>
      </x:c>
      <x:c r="C55" s="16" t="str">
        <x:v>同时强化至多2名远程，且仅接受已经进入预告状态的射手；不生成额外射线。</x:v>
      </x:c>
      <x:c r="D55" s="16" t="str">
        <x:v>1. telegraph 1回合：显示最多两条受号令影响的已有射线。
2. support 1回合：给所选射手登记下一阶段一次+15%。
3. recover 2回合：两阶段不能继续发令。</x:v>
      </x:c>
      <x:c r="E55" s="16" t="str">
        <x:v>4格内已处于攻击预告的其他初始ranged敌人，距施法者再稳定ID取最多2名。
选目标时保留射手已经锁定的几何；不得因号令重新追瞄英雄。</x:v>
      </x:c>
      <x:c r="F55" s="16" t="str">
        <x:v>temporary_damage_bonus_ratio = 0.15
targets_max = 2
cast_attempts_max = 2
buff_start = next_enemy_phase
buff_expire = after_one_damage_action_or_next_enemy_phase_end
fallback_melee_ratio = 1
fallback_move_tiles = 0.5</x:v>
      </x:c>
      <x:c r="G55" s="16" t="str">
        <x:v>用普通反弹躲开早已固定的射线；目标越少，本次号令受益越少。</x:v>
      </x:c>
      <x:c r="H55" s="16" t="str">
        <x:v>号令从施法后的下一敌方阶段生效，确保额外一个玩家回合；同来源不叠层，领取者最多消耗一次伤害动作，未出手也在该阶段末到期。无效目标不换人；施法阶段自身不攻击。 每敌方阶段最多一次伤害动作；同动作多区域命中只取最高一次。 所有追击在玩家发射前锁定并显示路径、终点与攻击包络；不得按最终停点重新寻路，真实路径被挡即截断并取消到不了的攻击。
硬禁配：F12
组合风险：与F12硬禁；远程伤害源全队仍≤2，不能借号令另增投射物。</x:v>
      </x:c>
      <x:c r="I55" s="16" t="str">
        <x:v>需按来源修改既有额外伤害%并在指定动作/期限后移除；不得新增队伍攻击力或多一次行动。 源RowName仅是外观复用候选；以上数值与AI都是项目新测试设计，runtime未验证。
验收：只有A射手已预告、B尚未瞄准时只加成A；A被杀不能把份额补给B。</x:v>
      </x:c>
      <x:c r="J55" s="16" t="str">
        <x:v>参照42HP/4伤害辅助模板；号令增加已有同伴一次输出，故自身低伤、次数有限且占支援预算；不是添加队伍新属性。</x:v>
      </x:c>
    </x:row>
    <x:row r="56" ht="132" customHeight="1">
      <x:c r="A56" s="14" t="str">
        <x:v>MON_N051</x:v>
      </x:c>
      <x:c r="B56" s="14" t="str">
        <x:v>蓄令鼓脑</x:v>
      </x:c>
      <x:c r="C56" s="14" t="str">
        <x:v>两轮蓄令、随后自己和一名前排同时获得一次加成，期间可先清掉施法者。</x:v>
      </x:c>
      <x:c r="D56" s="14" t="str">
        <x:v>1. telegraph 2回合：连续两个完整玩家回合显示蓄令及两个受益者。
2. support 1回合：为自身和仍合法的原同伴登记下一阶段一次+50%。
3. move_melee 1回合：自身按公开1格包络移动并接触攻击，倍率1再读取其一次号令来源。
4. recover 2回合：停止发令两阶段，未消费加成清除。</x:v>
      </x:c>
      <x:c r="E56" s="14" t="str">
        <x:v>2格内其他初始前排按当前基础伤害降序再稳定ID选一名，并包括施法者自己。
蓄令开始锁同伴；两轮内不换目标，自己和同伴后续动作各自仍显示包络。</x:v>
      </x:c>
      <x:c r="F56" s="14" t="str">
        <x:v>temporary_damage_bonus_ratio = 0.5
targets_max = 2
cast_attempts_max = 2
buff_start = next_enemy_phase
buff_expire = after_one_damage_action_or_next_enemy_phase_end
fallback_melee_ratio = 1
fallback_move_tiles = 1</x:v>
      </x:c>
      <x:c r="G56" s="14" t="str">
        <x:v>两个预告回合足够优先撞杀鼓脑；远离两个受益者的包络可让加成一起过期。</x:v>
      </x:c>
      <x:c r="H56" s="14" t="str">
        <x:v>号令从施法后的下一敌方阶段生效，确保额外一个玩家回合；同来源不叠层，领取者最多消耗一次伤害动作，未出手也在该阶段末到期。无效目标不换人；施法阶段自身不攻击。 每敌方阶段最多一次伤害动作；同动作多区域命中只取最高一次。 所有追击在玩家发射前锁定并显示路径、终点与攻击包络；不得按最终停点重新寻路，真实路径被挡即截断并取消到不了的攻击。
硬禁配：F12
组合风险：与F12硬禁；不得与另一F13叠加同轮号令。</x:v>
      </x:c>
      <x:c r="I56" s="14" t="str">
        <x:v>需按来源修改既有额外伤害%并在指定动作/期限后移除；不得新增队伍攻击力或多一次行动。 源RowName仅是外观复用候选；以上数值与AI都是项目新测试设计，runtime未验证。
验收：自身4伤、同伴8伤且两者下一轮都命中时分别6和12；两者不能在同一阶段额外再攻击一次。</x:v>
      </x:c>
      <x:c r="J56" s="14" t="str">
        <x:v>参照42HP/4伤害辅助模板；号令增加已有同伴一次输出，故自身低伤、次数有限且占支援预算；不是添加队伍新属性。</x:v>
      </x:c>
    </x:row>
    <x:row r="57" ht="117" customHeight="1">
      <x:c r="A57" s="16" t="str">
        <x:v>MON_N052</x:v>
      </x:c>
      <x:c r="B57" s="16" t="str">
        <x:v>断血旗手</x:v>
      </x:c>
      <x:c r="C57" s="16" t="str">
        <x:v>号令由自身HP首次严格低于50%触发一次，不按固定周期重复。</x:v>
      </x:c>
      <x:c r="D57" s="16" t="str">
        <x:v>1. move_melee 1回合：普通阶段只按公开1格包络追击并接触攻击1次。
事件分支（不循环）：
hp_crosses_below &lt; 0.5，仅一次：telegraph 1回合：公开绝境号令目标。 → support 1回合：登记原目标下一阶段一次+40%。 → recover 1回合：清理事件，返回普通追击。；终态=remain_alive</x:v>
      </x:c>
      <x:c r="E57" s="16" t="str">
        <x:v>触发时3格内另一初始敌人按基础伤害降序、稳定ID选择；不选择自己。
低血触发后锁目标，先显示完整玩家回合再授予；已锁者死亡不转移。</x:v>
      </x:c>
      <x:c r="F57" s="16" t="str">
        <x:v>hp_trigger_ratio = 0.5
temporary_damage_bonus_ratio = 0.4
buff_start = next_enemy_phase
buff_expire = after_one_damage_action_or_next_enemy_phase_end
fallback_melee_ratio = 1
fallback_move_tiles = 1</x:v>
      </x:c>
      <x:c r="G57" s="16" t="str">
        <x:v>一次大碰撞直接击杀可避免号令；触发后仍能在预告期杀旗手或标记同伴。</x:v>
      </x:c>
      <x:c r="H57" s="16" t="str">
        <x:v>号令从施法后的下一敌方阶段生效，确保额外一个玩家回合；同来源不叠层，领取者最多消耗一次伤害动作，未出手也在该阶段末到期。无效目标不换人；施法阶段自身不攻击。 低血号令每场至多一次；回复后再掉血不再触发。 每敌方阶段最多一次伤害动作；同动作多区域命中只取最高一次。 所有追击在玩家发射前锁定并显示路径、终点与攻击包络；不得按最终停点重新寻路，真实路径被挡即截断并取消到不了的攻击。
硬禁配：F12
组合风险：与F12硬禁；不得与其他号令支援同队。</x:v>
      </x:c>
      <x:c r="I57" s="16" t="str">
        <x:v>需按来源修改既有额外伤害%并在指定动作/期限后移除；不得新增队伍攻击力或多一次行动。 需要HP阈值的一次事件账本。 源RowName仅是外观复用候选；以上数值与AI都是项目新测试设计，runtime未验证。
验收：44最大HP降到22不触发，降到21触发一次；之后恢复再降到20不能重新发令。</x:v>
      </x:c>
      <x:c r="J57" s="16" t="str">
        <x:v>参照42HP/4伤害辅助模板；号令增加已有同伴一次输出，故自身低伤、次数有限且占支援预算；不是添加队伍新属性。</x:v>
      </x:c>
    </x:row>
    <x:row r="58" ht="222" customHeight="1">
      <x:c r="A58" s="14" t="str">
        <x:v>MON_N053</x:v>
      </x:c>
      <x:c r="B58" s="14" t="str">
        <x:v>双卵腹囊</x:v>
      </x:c>
      <x:c r="C58" s="14" t="str">
        <x:v>同时双点、整场仅一次；不是按波次无限刷怪或逐轮补满。</x:v>
      </x:c>
      <x:c r="D58" s="14" t="str">
        <x:v>1. telegraph 1回合：显示左右两个出生点与将生2只幼体。
2. spawn 1回合：分别在仍合法的锁定点生成幼体，出生不造成伤害。
3. move_melee 1回合：名额已用完，之后仅按预先锁定的0.5格路径接触攻击，倍率1。</x:v>
      </x:c>
      <x:c r="E58" s="14" t="str">
        <x:v>取母体左右各1格合法点；若对称点并列选可达余量更大者，再y/x坐标；两点必须不同。
首次行动预告时锁两个世界点；执行不跟随英雄或母体重选。</x:v>
      </x:c>
      <x:c r="F58" s="14" t="str">
        <x:v>child_definition_id = MON_N001
child_hp_factor = 0.5
child_attack_factor = 0.5
child_factor_basis = 已按本层本波计算的普通MON_N001属性；只乘此因子一次，不乘父体精英或旧成长
descendants_total_max = 2
generation_limit = 1
reserved_descendant_slots = 2
child_first_attack = 出生后至少经过一个完整玩家回合才可按可见追击计划行动
child_rewards = 金币/经验/装备/材料全部为0
spawn_attempts_max = 1
fallback_melee_ratio = 1
fallback_move_tiles = 0.5</x:v>
      </x:c>
      <x:c r="G58" s="14" t="str">
        <x:v>在孵化预告时直接碰撞击杀母体，两个出生名额一并取消。</x:v>
      </x:c>
      <x:c r="H58" s="14" t="str">
        <x:v>每场后代总数≤2且仅一代；生成编队时预留2附属实体位和相应预算，总实体含本体≤6。出生点被固体/演员占用就取消该名额，不换到未预告位置，取消也消耗名额；子体死亡不补生。 每敌方阶段最多一次伤害动作；同动作多区域命中只取最高一次。 所有追击在玩家发射前锁定并显示路径、终点与攻击包络；不得按最终停点重新寻路，真实路径被挡即截断并取消到不了的攻击。
硬禁配：F11
组合风险：与F11治疗家族硬禁；不能在未预留两个附属位的满员编队里出现。</x:v>
      </x:c>
      <x:c r="I58" s="14" t="str">
        <x:v>需要指定MON_N001子体、固定出生点和原始成员奖励账本适配；通用召唤仍套旧成长且未清装备掉落，必须显式覆盖新曲线并禁全部独立奖励。后代不继承召唤、分裂或复生行为。 源RowName仅是外观复用候选；以上数值与AI都是项目新测试设计，runtime未验证。
验收：总初始活体4且已预留2位时可生成2幼体；预告后占住右出生点只生左侧一只，不能把右侧偷偷移到英雄背后。</x:v>
      </x:c>
      <x:c r="J58" s="14" t="str">
        <x:v>参照45HP/6伤害近战测试基准；母体伤害低，费用主要为最多两只后代与占位压力预留，不能按解锁层再次抬高基准。</x:v>
      </x:c>
    </x:row>
    <x:row r="59" ht="282" customHeight="1">
      <x:c r="A59" s="16" t="str">
        <x:v>MON_N054</x:v>
      </x:c>
      <x:c r="B59" s="16" t="str">
        <x:v>近息卵母</x:v>
      </x:c>
      <x:c r="C59" s="16" t="str">
        <x:v>由进入2格范围的边沿事件触发单子体；持续留圈不能反复触发，必须离圈后再进入才有第二次。</x:v>
      </x:c>
      <x:c r="D59" s="16" t="str">
        <x:v>1. guard 1回合：显示2格圈，未发生新进入时只等待，不凭持续接近重复计数。
2. telegraph 1回合：发生合法进入后公开一个出生点。
3. spawn 1回合：在该点生成一名幼体；剩余次数不因幼体死亡恢复。
4. recover 1回合：等待英雄离圈再武装；两次用尽后仅做公开0.5格接触攻击。</x:v>
      </x:c>
      <x:c r="E59" s="16" t="str">
        <x:v>玩家输入开放时检查英雄是否由圈外进入母体2格范围；出生点选母体背离当时英雄方向1格处，坐标并列y/x。
触发后锁出生世界点和本次进入序号；后续英雄离圈不移动预告点。</x:v>
      </x:c>
      <x:c r="F59" s="16" t="str">
        <x:v>child_definition_id = MON_N001
child_hp_factor = 0.5
child_attack_factor = 0.5
child_factor_basis = 已按本层本波计算的普通MON_N001属性；只乘此因子一次，不乘父体精英或旧成长
descendants_total_max = 2
generation_limit = 1
reserved_descendant_slots = 2
child_first_attack = 出生后至少经过一个完整玩家回合才可按可见追击计划行动
child_rewards = 金币/经验/装备/材料全部为0
proximity_radius_tiles = 2
proximity_rearm_rule = 英雄至少一个输入开放时点处于2格圈外后才可再次触发
spawn_attempts_max = 2
per_attempt_children = 1
fallback_melee_ratio = 1
fallback_move_tiles = 0.5</x:v>
      </x:c>
      <x:c r="G59" s="16" t="str">
        <x:v>可在圈外反弹打中母体；已触发后先杀母体即可取消孵化。</x:v>
      </x:c>
      <x:c r="H59" s="16" t="str">
        <x:v>每场后代总数≤2且仅一代；生成编队时预留2附属实体位和相应预算，总实体含本体≤6。出生点被固体/演员占用就取消该名额，不换到未预告位置，取消也消耗名额；子体死亡不补生。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组合风险：与F11硬禁；预留2个附属实体位，不得靠英雄反复进出突破2子体总数。</x:v>
      </x:c>
      <x:c r="I59" s="16" t="str">
        <x:v>需要指定MON_N001子体、固定出生点和原始成员奖励账本适配；通用召唤仍套旧成长且未清装备掉落，必须显式覆盖新曲线并禁全部独立奖励。后代不继承召唤、分裂或复生行为。 需要进入/离开范围的AI边沿记录，不新增召唤能量。 源RowName仅是外观复用候选；以上数值与AI都是项目新测试设计，runtime未验证。
验收：英雄连续三个回合留在1.5格内只允许一次孵化；离开到2.5格再进入可触发第二次，第三次进入无新增子体。</x:v>
      </x:c>
      <x:c r="J59" s="16" t="str">
        <x:v>参照45HP/6伤害近战测试基准；母体伤害低，费用主要为最多两只后代与占位压力预留，不能按解锁层再次抬高基准。</x:v>
      </x:c>
    </x:row>
    <x:row r="60" ht="237" customHeight="1">
      <x:c r="A60" s="14" t="str">
        <x:v>MON_N055</x:v>
      </x:c>
      <x:c r="B60" s="14" t="str">
        <x:v>伤醒卵囊</x:v>
      </x:c>
      <x:c r="C60" s="14" t="str">
        <x:v>孵化由母体HP首次严格低于50%触发，平时只做基础追击；一击杀死可跳过孵化。</x:v>
      </x:c>
      <x:c r="D60" s="14" t="str">
        <x:v>1. move_melee 1回合：平时按发射前锁定的1格路径追击，实际接触才造成1倍伤害。
事件分支（不循环）：
hp_crosses_below &lt; 0.5，仅一次：telegraph 1回合：公开前后两个出生点。 → spawn 1回合：母体仍活着时各生成一名幼体。 → recover 1回合：结束孵化，返回普通追击。；终态=remain_alive</x:v>
      </x:c>
      <x:c r="E60" s="14" t="str">
        <x:v>阈值触发时选母体前后各1格合法点；前方朝当时英雄位置，几何并列用y/x。
触发时锁两点；不给触发当次剩余回合算完整预告，最早下次玩家发射后孵化。</x:v>
      </x:c>
      <x:c r="F60" s="14" t="str">
        <x:v>child_definition_id = MON_N001
child_hp_factor = 0.5
child_attack_factor = 0.5
child_factor_basis = 已按本层本波计算的普通MON_N001属性；只乘此因子一次，不乘父体精英或旧成长
descendants_total_max = 2
generation_limit = 1
reserved_descendant_slots = 2
child_first_attack = 出生后至少经过一个完整玩家回合才可按可见追击计划行动
child_rewards = 金币/经验/装备/材料全部为0
hp_trigger_ratio = 0.5
spawn_attempts_max = 1
fallback_melee_ratio = 1
fallback_move_tiles = 1</x:v>
      </x:c>
      <x:c r="G60" s="14" t="str">
        <x:v>用高质量基础反弹快速击杀母体；低血触发后仍有完整一回合阻止孵化。</x:v>
      </x:c>
      <x:c r="H60" s="14" t="str">
        <x:v>每场后代总数≤2且仅一代；生成编队时预留2附属实体位和相应预算，总实体含本体≤6。出生点被固体/演员占用就取消该名额，不换到未预告位置，取消也消耗名额；子体死亡不补生。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组合风险：与F11硬禁；低血孵化不可再叠第二个阈值分裂或复生。</x:v>
      </x:c>
      <x:c r="I60" s="14" t="str">
        <x:v>需要指定MON_N001子体、固定出生点和原始成员奖励账本适配；通用召唤仍套旧成长且未清装备掉落，必须显式覆盖新曲线并禁全部独立奖励。后代不继承召唤、分裂或复生行为。 需要一次HP阈值分支，致死优先于未完成孵化。 源RowName仅是外观复用候选；以上数值与AI都是项目新测试设计，runtime未验证。
验收：64HP降到32不触发，降到31触发；在预告回合击杀母体后不生子体，恢复再掉血也不能第二次触发。</x:v>
      </x:c>
      <x:c r="J60" s="14" t="str">
        <x:v>参照45HP/6伤害近战测试基准；母体伤害低，费用主要为最多两只后代与占位压力预留，不能按解锁层再次抬高基准。</x:v>
      </x:c>
    </x:row>
    <x:row r="61" ht="282" customHeight="1">
      <x:c r="A61" s="16" t="str">
        <x:v>MON_N056</x:v>
      </x:c>
      <x:c r="B61" s="16" t="str">
        <x:v>迁巢母体</x:v>
      </x:c>
      <x:c r="C61" s="16" t="str">
        <x:v>空间路线决定出生位置；每个巢位只尝试一次，不能在原地按时间补齐。</x:v>
      </x:c>
      <x:c r="D61" s="16" t="str">
        <x:v>1. relocate 1回合：向当前巢旁母体站位沿公开路径移最多1格；绝不占子体巢位。两次仍不到则消耗该巢名额。
2. telegraph 1回合：母体站位有效且已到位后，预告旁边独立子体巢位。
3. spawn 1回合：分别复核母体站位与独立子体巢位；二者合法且无重叠才生成一只，随后切到第二对位置。
4. recover 1回合：迁巢结束；名额耗尽后只作公开1格接触追击。</x:v>
      </x:c>
      <x:c r="E61" s="16" t="str">
        <x:v>出生时从距母体≤3格的合法点选两个子体巢位，优先相隔≥2格，再按y/x；每巢另选距巢1格、离母体最近的合法邻位作为母体站位，距离并列按y/x。母体站位与子体巢位不得重叠，整场顺序固定。
两对子体巢位/母体站位及到站位的路径在第一次行动前公布；母体到自己的站位后再预告独立子体点，不追随英雄改巢。</x:v>
      </x:c>
      <x:c r="F61" s="16" t="str">
        <x:v>child_definition_id = MON_N001
child_hp_factor = 0.5
child_attack_factor = 0.5
child_factor_basis = 已按本层本波计算的普通MON_N001属性；只乘此因子一次，不乘父体精英或旧成长
descendants_total_max = 2
generation_limit = 1
reserved_descendant_slots = 2
child_first_attack = 出生后至少经过一个完整玩家回合才可按可见追击计划行动
child_rewards = 金币/经验/装备/材料全部为0
nest_count = 2
mother_stand_offset_tiles = 1
stand_and_child_separate = true
per_nest_children = 1
travel_phases_per_nest_max = 2
fallback_melee_ratio = 1
fallback_move_tiles = 1</x:v>
      </x:c>
      <x:c r="G61" s="16" t="str">
        <x:v>利用母体赶路窗口追击；击杀母体后尚未使用的巢位全部取消。</x:v>
      </x:c>
      <x:c r="H61" s="16" t="str">
        <x:v>每场后代总数≤2且仅一代；生成编队时预留2附属实体位和相应预算，总实体含本体≤6。出生点被固体/演员占用就取消该名额，不换到未预告位置，取消也消耗名额；子体死亡不补生。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组合风险：与F11硬禁；两巢位置不得占用英雄出生安全区或堵死唯一反弹路线。</x:v>
      </x:c>
      <x:c r="I61" s="16" t="str">
        <x:v>需要指定MON_N001子体、固定出生点和原始成员奖励账本适配；通用召唤仍套旧成长且未清装备掉落，必须显式覆盖新曲线并禁全部独立奖励。后代不继承召唤、分裂或复生行为。 需要有限巢位路径与到达判定。 源RowName仅是外观复用候选；以上数值与AI都是项目新测试设计，runtime未验证。
验收：母体位于站位(1,2)、子体巢位(2,2)时才能生成；若两点被错误设成同一点必须拒绝。第一巢成功后占住第二子体巢位，第二次落空并耗尽名额，不能回第一巢补生。</x:v>
      </x:c>
      <x:c r="J61" s="16" t="str">
        <x:v>参照45HP/6伤害近战测试基准；母体伤害低，费用主要为最多两只后代与占位压力预留，不能按解锁层再次抬高基准。</x:v>
      </x:c>
    </x:row>
    <x:row r="62" ht="222" customHeight="1">
      <x:c r="A62" s="14" t="str">
        <x:v>MON_N057</x:v>
      </x:c>
      <x:c r="B62" s="14" t="str">
        <x:v>横裂血球</x:v>
      </x:c>
      <x:c r="C62" s="14" t="str">
        <x:v>死亡后同时横向分裂两名子体，生前没有孵化或阈值分裂。</x:v>
      </x:c>
      <x:c r="D62" s="14" t="str">
        <x:v>1. move_melee 1回合：生前仅沿已锁定1格路径追击并接触攻击。
事件分支（不循环）：
first_lethal_hit，仅一次：telegraph 1回合：显示死亡位置左右两个子体点。 → spawn 1回合：只在合法点各生一名子体，无即刻伤害。；终态=despawn</x:v>
      </x:c>
      <x:c r="E62" s="14" t="str">
        <x:v>首次致死时以原位置左右各1格为出生点；两点坐标固定。
死亡时锁点，下一完整玩家回合只预告，再尝试出生；不能根据停点追放子体。</x:v>
      </x:c>
      <x:c r="F62" s="14" t="str">
        <x:v>child_definition_id = MON_N001
child_hp_factor = 0.5
child_attack_factor = 0.5
child_factor_basis = 已按本层本波计算的普通MON_N001属性；只乘此因子一次，不乘父体精英或旧成长
descendants_total_max = 2
generation_limit = 1
reserved_descendant_slots = 2
child_first_attack = 出生后至少经过一个完整玩家回合才可按可见追击计划行动
child_rewards = 金币/经验/装备/材料全部为0
split_attempts_max = 1
fallback_melee_ratio = 1
fallback_move_tiles = 1</x:v>
      </x:c>
      <x:c r="G62" s="14" t="str">
        <x:v>击杀后观察左右预告点，先调整反弹路线；基础碰撞能继续清理脆弱子体。</x:v>
      </x:c>
      <x:c r="H62" s="14" t="str">
        <x:v>每场后代总数≤2且仅一代；生成编队时预留2附属实体位和相应预算，总实体含本体≤6。出生点被固体/演员占用就取消该名额，不换到未预告位置，取消也消耗名额；子体死亡不补生。母体首次致死立即停止普通动作并退出活体碰撞，仅保留无碰撞分支记录；致死当次不算完整预告。奖励归原始成员账本至多一次，子体与记录均无独立收益。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组合风险：与F11硬禁；不能在分裂前已有5个活体且无2个预留位时生成母体。</x:v>
      </x:c>
      <x:c r="I62" s="14" t="str">
        <x:v>需要指定MON_N001子体、固定出生点和原始成员奖励账本适配；通用召唤仍套旧成长且未清装备掉落，必须显式覆盖新曲线并禁全部独立奖励。后代不继承召唤、分裂或复生行为。 分裂只由first_lethal_hit事件驱动，不进入普通周期。 源RowName仅是外观复用候选；以上数值与AI都是项目新测试设计，runtime未验证。
验收：在第N次玩家发射致死后不得同轮出生攻击；最早N+1敌方阶段出生，子体攻击还需之后完整玩家回合；总子体恰好≤2。</x:v>
      </x:c>
      <x:c r="J62" s="14" t="str">
        <x:v>参照45HP/6伤害近战测试基准；母体与有限子体构成总压力，预算预留子体而不把每个生命阶段当独立收益。</x:v>
      </x:c>
    </x:row>
    <x:row r="63" ht="222" customHeight="1">
      <x:c r="A63" s="16" t="str">
        <x:v>MON_N058</x:v>
      </x:c>
      <x:c r="B63" s="16" t="str">
        <x:v>独核裂囊</x:v>
      </x:c>
      <x:c r="C63" s="16" t="str">
        <x:v>全场只生一个子体，降低围堵数量、提高单目标收尾优先级；不是两小体改名。</x:v>
      </x:c>
      <x:c r="D63" s="16" t="str">
        <x:v>1. move_melee 1回合：生前按已显示1.5格路径接近并接触攻击一次。
事件分支（不循环）：
first_lethal_hit，仅一次：telegraph 1回合：公开唯一后侧出生点。 → spawn 1回合：合法则只生成一名独核子体。；终态=despawn</x:v>
      </x:c>
      <x:c r="E63" s="16" t="str">
        <x:v>首次致死时在远离当时英雄的一侧1格选唯一合法点；并列y/x。
锁唯一出生点，失效则取消，不向英雄最终停点另一侧重新选位。</x:v>
      </x:c>
      <x:c r="F63" s="16" t="str">
        <x:v>child_definition_id = MON_N001
child_hp_factor = 0.95
child_attack_factor = 0.75
child_factor_basis = 已按本层本波计算的普通MON_N001属性；只乘此因子一次，不乘父体精英或旧成长
descendants_total_max = 1
generation_limit = 1
reserved_descendant_slots = 2
child_first_attack = 出生后至少经过一个完整玩家回合才可按可见追击计划行动
child_rewards = 金币/经验/装备/材料全部为0
split_attempts_max = 1
fallback_melee_ratio = 1
fallback_move_tiles = 1.5</x:v>
      </x:c>
      <x:c r="G63" s="16" t="str">
        <x:v>先杀母体后仍只需处理一个目标；可利用预告间隔规划连撞。</x:v>
      </x:c>
      <x:c r="H63" s="16" t="str">
        <x:v>每场后代总数≤2且仅一代；生成编队时预留2附属实体位和相应预算，总实体含本体≤6。出生点被固体/演员占用就取消该名额，不换到未预告位置，取消也消耗名额；子体死亡不补生。母体首次致死立即停止普通动作并退出活体碰撞，仅保留无碰撞分支记录；致死当次不算完整预告。奖励归原始成员账本至多一次，子体与记录均无独立收益。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组合风险：与F11硬禁；按家族上界预留2位，实际只使用1位，空位不得临时补别怪。</x:v>
      </x:c>
      <x:c r="I63" s="16" t="str">
        <x:v>需要指定MON_N001子体、固定出生点和原始成员奖励账本适配；通用召唤仍套旧成长且未清装备掉落，必须显式覆盖新曲线并禁全部独立奖励。后代不继承召唤、分裂或复生行为。 源RowName仅是外观复用候选；以上数值与AI都是项目新测试设计，runtime未验证。
验收：致死后最多产生一名MON_N001缩放体：其HP=本层本波普通N001的0.95倍，攻击=.75倍；不能给这个子体再执行分裂。</x:v>
      </x:c>
      <x:c r="J63" s="16" t="str">
        <x:v>参照45HP/6伤害近战测试基准；母体与有限子体构成总压力，预算预留子体而不把每个生命阶段当独立收益。</x:v>
      </x:c>
    </x:row>
    <x:row r="64" ht="252" customHeight="1">
      <x:c r="A64" s="14" t="str">
        <x:v>MON_N059</x:v>
      </x:c>
      <x:c r="B64" s="14" t="str">
        <x:v>纵裂血茧</x:v>
      </x:c>
      <x:c r="C64" s="14" t="str">
        <x:v>分裂轴为死亡时朝英雄的前后轴；不同于固定左右，且两点离母体分别1格和1.5格。</x:v>
      </x:c>
      <x:c r="D64" s="14" t="str">
        <x:v>1. move_melee 1回合：生前沿已锁定0.5格路径缓慢接触追击。
事件分支（不循环）：
first_lethal_hit，仅一次：telegraph 1回合：显示前后两个不同距离的固定点。 → spawn 1回合：分别在仍合法点生成一名子体。；终态=despawn</x:v>
      </x:c>
      <x:c r="E64" s="14" t="str">
        <x:v>首次致死时读取死亡前中心到当时英雄的方向，取前1格、后1.5格；方向退化时按上方轴。
锁原点与轴向，不读取下一次发射停点；如果一个点越界只取消该名额。</x:v>
      </x:c>
      <x:c r="F64" s="14" t="str">
        <x:v>child_definition_id = MON_N001
child_hp_factor = 0.5
child_attack_factor = 0.5
child_factor_basis = 已按本层本波计算的普通MON_N001属性；只乘此因子一次，不乘父体精英或旧成长
descendants_total_max = 2
generation_limit = 1
reserved_descendant_slots = 2
child_first_attack = 出生后至少经过一个完整玩家回合才可按可见追击计划行动
child_rewards = 金币/经验/装备/材料全部为0
front_offset_tiles = 1
rear_offset_tiles = 1.5
split_attempts_max = 1
fallback_melee_ratio = 1
fallback_move_tiles = 0.5</x:v>
      </x:c>
      <x:c r="G64" s="14" t="str">
        <x:v>击杀前选择接触方向可改变公开分裂轴，击杀后沿两点之间的空隙反弹。</x:v>
      </x:c>
      <x:c r="H64" s="14" t="str">
        <x:v>每场后代总数≤2且仅一代；生成编队时预留2附属实体位和相应预算，总实体含本体≤6。出生点被固体/演员占用就取消该名额，不换到未预告位置，取消也消耗名额；子体死亡不补生。母体首次致死立即停止普通动作并退出活体碰撞，仅保留无碰撞分支记录；致死当次不算完整预告。奖励归原始成员账本至多一次，子体与记录均无独立收益。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组合风险：与F11硬禁；前后点必须在可达区，不能把幼体放到障碍内部。</x:v>
      </x:c>
      <x:c r="I64" s="14" t="str">
        <x:v>需要指定MON_N001子体、固定出生点和原始成员奖励账本适配；通用召唤仍套旧成长且未清装备掉落，必须显式覆盖新曲线并禁全部独立奖励。后代不继承召唤、分裂或复生行为。 需冻结致死时世界轴与偏移点。 源RowName仅是外观复用候选；以上数值与AI都是项目新测试设计，runtime未验证。
验收：母体(2,2)、英雄在其下方时，出生点必须一前一下、一后上方；英雄下次移到左侧，预告点保持原轴不旋转。</x:v>
      </x:c>
      <x:c r="J64" s="14" t="str">
        <x:v>参照45HP/6伤害近战测试基准；母体与有限子体构成总压力，预算预留子体而不把每个生命阶段当独立收益。</x:v>
      </x:c>
    </x:row>
    <x:row r="65" ht="237" customHeight="1">
      <x:c r="A65" s="16" t="str">
        <x:v>MON_N060</x:v>
      </x:c>
      <x:c r="B65" s="16" t="str">
        <x:v>续裂眼囊</x:v>
      </x:c>
      <x:c r="C65" s="16" t="str">
        <x:v>第二子体取决于第一只经过一完整玩家回合仍存活，玩家可通过先杀第一只取消后半段。</x:v>
      </x:c>
      <x:c r="D65" s="16" t="str">
        <x:v>1. move_melee 1回合：生前按发射前固定1格路径接触追击。
事件分支（不循环）：
first_lethal_hit，仅一次：telegraph 1回合：同时显示两个点及先左后右顺序。 → spawn 1回合：尝试生成第一名子体。 → telegraph 1回合：第一名仍活着时预告第二点；给完整玩家回合阻断。 → spawn 1回合：第一名仍活着且第二点合法才生成第二名。；终态=despawn</x:v>
      </x:c>
      <x:c r="E65" s="16" t="str">
        <x:v>首次致死时锁左右1格两点和左先右后的顺序，坐标并列按x/y。
两点在母体死亡时一并公开；第二段不重新瞄点，第一子体只作为存活条件，不拥有召唤技能。</x:v>
      </x:c>
      <x:c r="F65" s="16" t="str">
        <x:v>child_definition_id = MON_N001
child_hp_factor = 0.5
child_attack_factor = 0.5
child_factor_basis = 已按本层本波计算的普通MON_N001属性；只乘此因子一次，不乘父体精英或旧成长
descendants_total_max = 2
generation_limit = 1
reserved_descendant_slots = 2
child_first_attack = 出生后至少经过一个完整玩家回合才可按可见追击计划行动
child_rewards = 金币/经验/装备/材料全部为0
split_attempts_max = 1
second_requires_first_alive = true
fallback_melee_ratio = 1
fallback_move_tiles = 1</x:v>
      </x:c>
      <x:c r="G65" s="16" t="str">
        <x:v>第一只出现后优先用普通碰撞击杀，可阻止第二只出现。</x:v>
      </x:c>
      <x:c r="H65" s="16" t="str">
        <x:v>每场后代总数≤2且仅一代；生成编队时预留2附属实体位和相应预算，总实体含本体≤6。出生点被固体/演员占用就取消该名额，不换到未预告位置，取消也消耗名额；子体死亡不补生。母体首次致死立即停止普通动作并退出活体碰撞，仅保留无碰撞分支记录；致死当次不算完整预告。奖励归原始成员账本至多一次，子体与记录均无独立收益。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组合风险：与F11硬禁；第一子体不得自行再调召唤API，第二段由母体一次分支记录控制。</x:v>
      </x:c>
      <x:c r="I65" s="16" t="str">
        <x:v>需要指定MON_N001子体、固定出生点和原始成员奖励账本适配；通用召唤仍套旧成长且未清装备掉落，必须显式覆盖新曲线并禁全部独立奖励。后代不继承召唤、分裂或复生行为。 需持久记录第一子体ID、第二段条件与已消费名额。 源RowName仅是外观复用候选；以上数值与AI都是项目新测试设计，runtime未验证。
验收：第一子体在出生后的下一玩家回合被杀，第二spawn阶段应取消；第一只存活则最多再生一只，全场仍不超过2。</x:v>
      </x:c>
      <x:c r="J65" s="16" t="str">
        <x:v>参照45HP/6伤害近战测试基准；母体与有限子体构成总压力，预算预留子体而不把每个生命阶段当独立收益。</x:v>
      </x:c>
    </x:row>
    <x:row r="66" ht="207" customHeight="1">
      <x:c r="A66" s="14" t="str">
        <x:v>MON_N061</x:v>
      </x:c>
      <x:c r="B66" s="14" t="str">
        <x:v>还魂傀儡</x:v>
      </x:c>
      <x:c r="C66" s="14" t="str">
        <x:v>原地、两回合预告、35%HP单次复起，复起后仍是同一种近战。</x:v>
      </x:c>
      <x:c r="D66" s="14" t="str">
        <x:v>1. move_melee 1回合：生前沿已显示1格路径接触追击，倍率1。
事件分支（不循环）：
first_lethal_hit，仅一次：telegraph 2回合：残骸可被击毁，显示原地复起倒计时2。 → spawn 1回合：残骸仍存在且原点合法才原地恢复35%最大HP；清临时强固，保留死亡/奖励账本。；终态=revive</x:v>
      </x:c>
      <x:c r="E66" s="14" t="str">
        <x:v>首次致死时固定原中心为残骸和复起点，无其他目标。
致死当次不算完整预告；两个完整玩家回合后才可在原点复起，点被其他实体占用则取消。</x:v>
      </x:c>
      <x:c r="F66" s="14" t="str">
        <x:v>revive_limit_per_battle = 1
descendants_total_max = 1
generation_limit = 1
reserved_descendant_slots = 1
remnant_hp_scaling = remnant_hp_base×本层HP因子；不乘波次或父精英倍率
revive_hp_basis = revive_hp_fraction×自身已算本层本波的最大HP，向上取整；不再乘层或精英倍率
reset_reward_ledger = false
fallback_melee_ratio = 1
remnant_hp_base = 12
revive_hp_fraction = 0.35
fallback_move_tiles = 1</x:v>
      </x:c>
      <x:c r="G66" s="14" t="str">
        <x:v>倒地后用普通碰撞打碎残骸即可终止复生，不要求特殊净化装备。</x:v>
      </x:c>
      <x:c r="H66" s="14" t="str">
        <x:v>每场只复生一次；残骸与复起身体沿同一根成员ID记账，均无独立金币/经验/装备/材料。首致死立即停旧动作；残骸销毁即取消分支，复起后再次致死永久消失。预留1附属实体位，总实体≤6；残骸不提供强固或免疫。 每敌方阶段最多一次伤害动作；同动作多区域命中只取最高一次。 所有追击在玩家发射前锁定并显示路径、终点与攻击包络；不得按最终停点重新寻路，真实路径被挡即截断并取消到不了的攻击。
硬禁配：F11
组合风险：与F11治疗家族硬禁；残骸必须保持可达且计入实体占位。</x:v>
      </x:c>
      <x:c r="I66" s="14" t="str">
        <x:v>需要一次复生状态机、可被基础碰撞击毁的残骸和根奖励账本；原通用reset会满血/清强固，必须覆盖为指定比例并保留死亡次数、once标志和已发奖励，不可重置账本。 源RowName仅是外观复用候选；以上数值与AI都是项目新测试设计，runtime未验证。
验收：F1标准基准66最大HP，首次致死生成12HP残骸；两完整回合后复起HP=ceil(66×.35)=24，绝不能回66；提前击碎残骸则不复起。</x:v>
      </x:c>
      <x:c r="J66" s="14" t="str">
        <x:v>参照75HP/8伤害守卫模板下调第一条生命；第二生命与可拆残骸计入预算，不等于源重生傀儡已经有此机制。</x:v>
      </x:c>
    </x:row>
    <x:row r="67" ht="222" customHeight="1">
      <x:c r="A67" s="16" t="str">
        <x:v>MON_N062</x:v>
      </x:c>
      <x:c r="B67" s="16" t="str">
        <x:v>迁墓傀儡</x:v>
      </x:c>
      <x:c r="C67" s="16" t="str">
        <x:v>静止残骸与远处复起点分离；没有移动残骸的过程，击碎原残骸仍能取消远处复起。</x:v>
      </x:c>
      <x:c r="D67" s="16" t="str">
        <x:v>1. move_melee 1回合：生前沿发射前锁定1格路径接触攻击。
2. recover 1回合：停一阶段，不攻击。
事件分支（不循环）：
first_lethal_hit，仅一次：telegraph 1回合：原地残骸可拆，同时显示2格内固定复起点。 → spawn 1回合：原残骸存活且远点合法时，在远点复起30%最大HP，移除原残骸。；终态=revive</x:v>
      </x:c>
      <x:c r="E67" s="16" t="str">
        <x:v>首次致死时在距尸体≤2格合法点中选距英雄最远者，距离同按y/x；原尸位始终留可拆残骸。
两个点在死亡时一并锁定；复起点失效不重抽，不把残骸瞬移过去。</x:v>
      </x:c>
      <x:c r="F67" s="16" t="str">
        <x:v>revive_limit_per_battle = 1
descendants_total_max = 1
generation_limit = 1
reserved_descendant_slots = 1
remnant_hp_scaling = remnant_hp_base×本层HP因子；不乘波次或父精英倍率
revive_hp_basis = revive_hp_fraction×自身已算本层本波的最大HP，向上取整；不再乘层或精英倍率
reset_reward_ledger = false
fallback_melee_ratio = 1
remnant_hp_base = 10
revive_hp_fraction = 0.3
revive_offset_tiles_max = 2
fallback_move_tiles = 1</x:v>
      </x:c>
      <x:c r="G67" s="16" t="str">
        <x:v>直接攻击仍在原地的残骸，或占住公开复起点让本次复生失败。</x:v>
      </x:c>
      <x:c r="H67" s="16" t="str">
        <x:v>每场只复生一次；残骸与复起身体沿同一根成员ID记账，均无独立金币/经验/装备/材料。首致死立即停旧动作；残骸销毁即取消分支，复起后再次致死永久消失。预留1附属实体位，总实体≤6；残骸不提供强固或免疫。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组合风险：与F11硬禁；不能选不可达/墙内/英雄碰撞体重叠的复起点。</x:v>
      </x:c>
      <x:c r="I67" s="16" t="str">
        <x:v>需要一次复生状态机、可被基础碰撞击毁的残骸和根奖励账本；原通用reset会满血/清强固，必须覆盖为指定比例并保留死亡次数、once标志和已发奖励，不可重置账本。 需静态残骸与锁定远端落点分离绑定。 源RowName仅是外观复用候选；以上数值与AI都是项目新测试设计，runtime未验证。
验收：60最大HP复起只能18HP；残骸未动而目标点被占用时取消复生，不能找另一个未预告点。</x:v>
      </x:c>
      <x:c r="J67" s="16" t="str">
        <x:v>参照75HP/8伤害守卫模板下调第一条生命；第二生命与可拆残骸计入预算，不等于源重生傀儡已经有此机制。</x:v>
      </x:c>
    </x:row>
    <x:row r="68" ht="222" customHeight="1">
      <x:c r="A68" s="14" t="str">
        <x:v>MON_N063</x:v>
      </x:c>
      <x:c r="B68" s="14" t="str">
        <x:v>系命幽偶</x:v>
      </x:c>
      <x:c r="C68" s="14" t="str">
        <x:v>复生同时依赖残骸和一个预锁同伴存活，提供两个基础攻击可处理的取消目标。</x:v>
      </x:c>
      <x:c r="D68" s="14" t="str">
        <x:v>1. move_melee 1回合：生前按公开1格路径作接触攻击。
事件分支（不循环）：
first_lethal_hit，仅一次：telegraph 2回合：同时显示残骸倒计时和唯一同伴连线；失去任一条件即取消。 → spawn 1回合：两条件仍成立且原点合法才恢复50%最大HP。；终态=revive</x:v>
      </x:c>
      <x:c r="E68" s="14" t="str">
        <x:v>首次致死时选3格内另一存活初始成员，按距离再稳定ID；无同伴则本次不进入复生序列。
锁同伴ID与原尸位；同伴死去不转移链接，后代不能补作新锚点。</x:v>
      </x:c>
      <x:c r="F68" s="14" t="str">
        <x:v>revive_limit_per_battle = 1
descendants_total_max = 1
generation_limit = 1
reserved_descendant_slots = 1
remnant_hp_scaling = remnant_hp_base×本层HP因子；不乘波次或父精英倍率
revive_hp_basis = revive_hp_fraction×自身已算本层本波的最大HP，向上取整；不再乘层或精英倍率
reset_reward_ledger = false
fallback_melee_ratio = 1
remnant_hp_base = 14
revive_hp_fraction = 0.5
revive_requires_locked_ally_alive = true
fallback_move_tiles = 1</x:v>
      </x:c>
      <x:c r="G68" s="14" t="str">
        <x:v>可选择击毁残骸，或撞杀被连线标记的同伴；都不依赖附魔。</x:v>
      </x:c>
      <x:c r="H68" s="14" t="str">
        <x:v>每场只复生一次；残骸与复起身体沿同一根成员ID记账，均无独立金币/经验/装备/材料。首致死立即停旧动作；残骸销毁即取消分支，复起后再次致死永久消失。预留1附属实体位，总实体≤6；残骸不提供强固或免疫。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组合风险：与F11硬禁；无其他初始同伴的单怪编队不启用复生，不能临时召唤锚点。</x:v>
      </x:c>
      <x:c r="I68" s="14" t="str">
        <x:v>需要一次复生状态机、可被基础碰撞击毁的残骸和根奖励账本；原通用reset会满血/清强固，必须覆盖为指定比例并保留死亡次数、once标志和已发奖励，不可重置账本。 需初始同伴ID的存活条件，不新增复活点/能量属性。 源RowName仅是外观复用候选；以上数值与AI都是项目新测试设计，runtime未验证。
验收：64最大HP时复起32；死亡标记A后在第二回合杀A，尽管残骸14HP未损也必须取消复生；B存活不能替代A。</x:v>
      </x:c>
      <x:c r="J68" s="14" t="str">
        <x:v>参照75HP/8伤害守卫模板下调第一条生命；第二生命与可拆残骸计入预算，不等于源重生傀儡已经有此机制。</x:v>
      </x:c>
    </x:row>
    <x:row r="69" ht="312" customHeight="1">
      <x:c r="A69" s="16" t="str">
        <x:v>MON_N064</x:v>
      </x:c>
      <x:c r="B69" s="16" t="str">
        <x:v>立棺弩偶</x:v>
      </x:c>
      <x:c r="C69" s="16" t="str">
        <x:v>唯一复生改变后续行动顺序与几何；第二形态重新预告直线，不在复起瞬间攻击。</x:v>
      </x:c>
      <x:c r="D69" s="16" t="str">
        <x:v>1. move_melee 1回合：第一形态沿公开1.5格路径接触攻击。
2. recover 1回合：停顿一阶段。
事件分支（不循环）：
first_lethal_hit，仅一次：telegraph 1回合：原地残骸可拆，显示复起后固定弩位。 → spawn 1回合：以40%最大HP原地复起，切换post_revive_cycle；本阶段不开火。；终态=revive</x:v>
      </x:c>
      <x:c r="E69" s="16" t="str">
        <x:v>生前目标英雄；复起后每次射击锁当时英雄位置形成直线，目标唯一。
复起点为原尸位；弩形态在重新开放玩家输入前锁起点和4格射线，至少一完整回合后发射。</x:v>
      </x:c>
      <x:c r="F69" s="16" t="str">
        <x:v>revive_limit_per_battle = 1
descendants_total_max = 1
generation_limit = 1
reserved_descendant_slots = 1
remnant_hp_scaling = remnant_hp_base×本层HP因子；不乘波次或父精英倍率
revive_hp_basis = revive_hp_fraction×自身已算本层本波的最大HP，向上取整；不再乘层或精英倍率
reset_reward_ledger = false
fallback_melee_ratio = 1
remnant_hp_base = 12
revive_hp_fraction = 0.4
fallback_move_tiles = 1.5
post_revive_move_tiles = 0
post_revive_range_tiles = 4
post_revive_damage_ratio = 1
post_revive_cycle = [{"phase":"telegraph","turns":1,"intent":"固定原点与射线。"},{"phase":"execute","turns":1,"intent":"沿已锁射线发射一枚可被固体阻挡的投射物，倍率1。"},{"phase":"recover","turns":1,"intent":"停射一阶段。"}]</x:v>
      </x:c>
      <x:c r="G69" s="16" t="str">
        <x:v>优先拆残骸可完全避免远程形态；来不及拆时按新射线躲避并碰撞击杀低血复起体。</x:v>
      </x:c>
      <x:c r="H69" s="16" t="str">
        <x:v>每场只复生一次；残骸与复起身体沿同一根成员ID记账，均无独立金币/经验/装备/材料。首致死立即停旧动作；残骸销毁即取消分支，复起后再次致死永久消失。预留1附属实体位，总实体≤6；残骸不提供强固或免疫。 每敌方阶段最多一次伤害动作；同动作多区域命中只取最高一次。 所有追击在玩家发射前锁定并显示路径、终点与攻击包络；不得按最终停点重新寻路，真实路径被挡即截断并取消到不了的攻击。
硬禁配：F11
组合风险：与F11硬禁；复起后计入全队远程伤害源≤2，生成时提前预留这个类别。</x:v>
      </x:c>
      <x:c r="I69" s="16" t="str">
        <x:v>需要一次复生状态机、可被基础碰撞击毁的残骸和根奖励账本；原通用reset会满血/清强固，必须覆盖为指定比例并保留死亡次数、once标志和已发奖励，不可重置账本。 需持久化复生后AI形态切换，并在第二形态计入远程约束。 源RowName仅是外观复用候选；以上数值与AI都是项目新测试设计，runtime未验证。
验收：58最大HP复起为ceil(23.2)=24；复起当轮0伤害，下一次必须先预告再发射；第二次致死无第三形态。</x:v>
      </x:c>
      <x:c r="J69" s="16" t="str">
        <x:v>参照75HP/8伤害守卫模板下调第一条生命；第二生命与可拆残骸计入预算，不等于源重生傀儡已经有此机制。</x:v>
      </x:c>
    </x:row>
    <x:row r="70" ht="117" customHeight="1">
      <x:c r="A70" s="14" t="str">
        <x:v>MON_N065</x:v>
      </x:c>
      <x:c r="B70" s="14" t="str">
        <x:v>换位幽灯</x:v>
      </x:c>
      <x:c r="C70" s="14" t="str">
        <x:v>瞬移一次后才进入普通近战；落点取侧方而非远离玩家或固定轮换。</x:v>
      </x:c>
      <x:c r="D70" s="14" t="str">
        <x:v>1. telegraph 1回合：显示唯一侧方落点。
2. relocate 1回合：合法则瞬移，不造成伤害。
3. move_melee 1回合：下一轮沿重新公开锁定的1格路径接触攻击一次。
4. recover 1回合：恢复一阶段。</x:v>
      </x:c>
      <x:c r="E70" s="14" t="str">
        <x:v>以预告时源到英雄方向的左右垂线，在英雄侧方1格候选中选距源≤2的合法点；并列先左，再y/x。
预告锁世界点；英雄移动后不改落点；瞬移后下一输入开放前另锁1格近战路径。</x:v>
      </x:c>
      <x:c r="F70" s="14" t="str">
        <x:v>teleport_attempts_max = 3
teleport_distance_tiles_max = 2
fallback_melee_ratio = 1
fallback_move_tiles = 1</x:v>
      </x:c>
      <x:c r="G70" s="14" t="str">
        <x:v>落点始终可见，可用基础碰撞抢先攻击落点，或占住该点使位移取消。</x:v>
      </x:c>
      <x:c r="H70" s="14" t="str">
        <x:v>每次只瞬移一次，整场最多3次尝试；落点失效则留原地进入恢复，不重抽、不穿墙落入固体；瞬移阶段不攻击，碰撞关闭仅限同一提交中的位置设置，不提供无敌玩家回合。次数用尽后只执行已声明普通攻击。 每敌方阶段最多一次伤害动作；同动作多区域命中只取最高一次。 所有追击在玩家发射前锁定并显示路径、终点与攻击包络；不得按最终停点重新寻路，真实路径被挡即截断并取消到不了的攻击。
硬禁配：按全局约束
组合风险：不得与封死侧方落点的地形编队组合；全部落点需留合法反弹路径。</x:v>
      </x:c>
      <x:c r="I70" s="14" t="str">
        <x:v>需瞬移合法点与可见计划适配；源闪现空候选可落默认原点且会关碰撞，禁止继承该回退或整回合无敌。位移完成立即恢复正常碰撞，不伤害；下一阶段动作另锁定。 源RowName仅是外观复用候选；以上数值与AI都是项目新测试设计，runtime未验证。
验收：预告落点(1,3)后英雄移到(3,3)，幽灯仍只能去(1,3)；若该点被占则留原地，不能改跳英雄背后。</x:v>
      </x:c>
      <x:c r="J70" s="14" t="str">
        <x:v>参照30HP/5伤害快怪与36HP/8伤害远程模板；瞬移提供位置优势，因此生命不按深层重复放大，保留完整预告和落点失败窗口。</x:v>
      </x:c>
    </x:row>
    <x:row r="71" ht="117" customHeight="1">
      <x:c r="A71" s="16" t="str">
        <x:v>MON_N066</x:v>
      </x:c>
      <x:c r="B71" s="16" t="str">
        <x:v>退影幽灯</x:v>
      </x:c>
      <x:c r="C71" s="16" t="str">
        <x:v>以远离英雄的落点为目标，瞬移后的攻击是直线投射而非追击近战。</x:v>
      </x:c>
      <x:c r="D71" s="16" t="str">
        <x:v>1. telegraph 1回合：若近身触发则预告撤退点。
2. relocate 1回合：在锁点瞬移，阶段内不发射。
3. telegraph 1回合：从真实落点单独公开一条射线。
4. execute 1回合：一枚投射物沿锁线飞行，伤害1倍，遇固体停止。
5. recover 1回合：停射一阶段。</x:v>
      </x:c>
      <x:c r="E71" s="16" t="str">
        <x:v>英雄在1.5格内时，取距源≤2格且距英雄最远的合法点，距离同按y/x；不满足接近条件则原地进入射击预告。
撤退点先锁；到位后在下一玩家输入开放前固定4格射线，不能在发射后追瞄。</x:v>
      </x:c>
      <x:c r="F71" s="16" t="str">
        <x:v>teleport_attempts_max = 3
trigger_distance_tiles = 1.5
teleport_distance_tiles_max = 2
projectiles_per_action = 1
post_quota_action = 保留原地telegraph/execute/recover射击循环，不再瞬移</x:v>
      </x:c>
      <x:c r="G71" s="16" t="str">
        <x:v>接近迫使它先花回合撤退，随后躲开固定射线；普通碰撞即可击杀低血本体。</x:v>
      </x:c>
      <x:c r="H71" s="16" t="str">
        <x:v>每次只瞬移一次，整场最多3次尝试；落点失效则留原地进入恢复，不重抽、不穿墙落入固体；瞬移阶段不攻击，碰撞关闭仅限同一提交中的位置设置，不提供无敌玩家回合。次数用尽后只执行已声明普通攻击。 每敌方阶段最多一次伤害动作；同动作多区域命中只取最高一次。 所有追击在玩家发射前锁定并显示路径、终点与攻击包络；不得按最终停点重新寻路，真实路径被挡即截断并取消到不了的攻击。
硬禁配：按全局约束
组合风险：全队远程伤害源≤2；撤退点不得落到不可攻击的障碍后封闭格。</x:v>
      </x:c>
      <x:c r="I71" s="16" t="str">
        <x:v>需瞬移合法点与可见计划适配；源闪现空候选可落默认原点且会关碰撞，禁止继承该回退或整回合无敌。位移完成立即恢复正常碰撞，不伤害；下一阶段动作另锁定。 需近身条件与独立射击阶段，来源位移超过统一容差时取消射击。 源RowName仅是外观复用候选；以上数值与AI都是项目新测试设计，runtime未验证。
验收：英雄1格时先撤退且不射击；英雄远于1.5格则不消耗瞬移次数；射线锁定后英雄移走必须能落空。</x:v>
      </x:c>
      <x:c r="J71" s="16" t="str">
        <x:v>参照30HP/5伤害快怪与36HP/8伤害远程模板；瞬移提供位置优势，因此生命不按深层重复放大，保留完整预告和落点失败窗口。</x:v>
      </x:c>
    </x:row>
    <x:row r="72" ht="117" customHeight="1">
      <x:c r="A72" s="14" t="str">
        <x:v>MON_N067</x:v>
      </x:c>
      <x:c r="B72" s="14" t="str">
        <x:v>巡廊幽灯</x:v>
      </x:c>
      <x:c r="C72" s="14" t="str">
        <x:v>不按英雄新位置选点；固定左右站位让玩家可提前规划截击。</x:v>
      </x:c>
      <x:c r="D72" s="14" t="str">
        <x:v>1. telegraph 1回合：公开本次A或B站位。
2. relocate 1回合：只跳到这一个点，不连续二次瞬移。
3. move_melee 1回合：另一个玩家回合后沿已预告1格路径接触攻击。
4. recover 1回合：轮换下一站位。</x:v>
      </x:c>
      <x:c r="E72" s="14" t="str">
        <x:v>出生时选源附近左右各≤2格且两锚点互距≤2格的两个合法点，按x坐标规定A/B顺序；没有合格点对则仅普通追击。
两点整场不变，任何一次A/B间瞬移仍不得超过2格；每周期只预告一个点，落点被占时失败但顺序推进。</x:v>
      </x:c>
      <x:c r="F72" s="14" t="str">
        <x:v>teleport_attempts_max = 3
anchor_count = 2
teleport_distance_tiles_max = 2
fallback_melee_ratio = 1
fallback_move_tiles = 1</x:v>
      </x:c>
      <x:c r="G72" s="14" t="str">
        <x:v>记住A/B轮换，用普通反弹提前覆盖下一个位置；站位被占会取消这次瞬移。</x:v>
      </x:c>
      <x:c r="H72" s="14" t="str">
        <x:v>每次只瞬移一次，整场最多3次尝试；落点失效则留原地进入恢复，不重抽、不穿墙落入固体；瞬移阶段不攻击，碰撞关闭仅限同一提交中的位置设置，不提供无敌玩家回合。次数用尽后只执行已声明普通攻击。 每敌方阶段最多一次伤害动作；同动作多区域命中只取最高一次。 所有追击在玩家发射前锁定并显示路径、终点与攻击包络；不得按最终停点重新寻路，真实路径被挡即截断并取消到不了的攻击。
硬禁配：按全局约束
组合风险：两个站位都必须能被正常碰撞命中，不能借装饰或墙体形成无敌点。</x:v>
      </x:c>
      <x:c r="I72" s="14" t="str">
        <x:v>需瞬移合法点与可见计划适配；源闪现空候选可落默认原点且会关碰撞，禁止继承该回退或整回合无敌。位移完成立即恢复正常碰撞，不伤害；下一阶段动作另锁定。 需整场固定锚点与交替索引。 源RowName仅是外观复用候选；以上数值与AI都是项目新测试设计，runtime未验证。
验收：A=(1,2)、B=(3,2)，英雄连续改变位置也不改变A→B→A顺序；同一周期不得执行A→B两连跳。</x:v>
      </x:c>
      <x:c r="J72" s="14" t="str">
        <x:v>参照30HP/5伤害快怪与36HP/8伤害远程模板；瞬移提供位置优势，因此生命不按深层重复放大，保留完整预告和落点失败窗口。</x:v>
      </x:c>
    </x:row>
    <x:row r="73" ht="132" customHeight="1">
      <x:c r="A73" s="16" t="str">
        <x:v>MON_N068</x:v>
      </x:c>
      <x:c r="B73" s="16" t="str">
        <x:v>护伴幽灯</x:v>
      </x:c>
      <x:c r="C73" s="16" t="str">
        <x:v>落点跟随预告时同伴的相邻位置选择，作用是站位干扰，没有代替同伴承伤属性。</x:v>
      </x:c>
      <x:c r="D73" s="16" t="str">
        <x:v>1. telegraph 1回合：显示同伴及固定邻点，公开预期身体占位。
2. relocate 1回合：瞬移到合法点，不造成伤害、不给同伴护盾。
3. move_melee 1回合：下一轮沿公开1格路径接触追击。
4. recover 1回合：恢复一阶段。</x:v>
      </x:c>
      <x:c r="E73" s="16" t="str">
        <x:v>3格内另一初始敌人按HP比例升序、稳定ID选目标；取其朝英雄一侧的最近合法邻点，最终落点必须距施法者≤2格，坐标并列y/x；不满足则无合法目标。
只在预告开始选择一次同伴与邻点；同伴移动或死亡不改落点，点失效则取消。</x:v>
      </x:c>
      <x:c r="F73" s="16" t="str">
        <x:v>teleport_attempts_max = 3
teleport_distance_tiles_max = 2
fallback_melee_ratio = 1
fallback_move_tiles = 1</x:v>
      </x:c>
      <x:c r="G73" s="16" t="str">
        <x:v>可先撞杀被护同伴或幽灯本体；所有占位都可通过基础碰撞处理。</x:v>
      </x:c>
      <x:c r="H73" s="16" t="str">
        <x:v>每次只瞬移一次，整场最多3次尝试；落点失效则留原地进入恢复，不重抽、不穿墙落入固体；瞬移阶段不攻击，碰撞关闭仅限同一提交中的位置设置，不提供无敌玩家回合。次数用尽后只执行已声明普通攻击。 每敌方阶段最多一次伤害动作；同动作多区域命中只取最高一次。 所有追击在玩家发射前锁定并显示路径、终点与攻击包络；不得按最终停点重新寻路，真实路径被挡即截断并取消到不了的攻击。
硬禁配：按全局约束
组合风险：与大型路障同时使用时必须另验合法落点和反弹路线；不能形成无法穿出的实体堵门。</x:v>
      </x:c>
      <x:c r="I73" s="16" t="str">
        <x:v>需瞬移合法点与可见计划适配；源闪现空候选可落默认原点且会关碰撞，禁止继承该回退或整回合无敌。位移完成立即恢复正常碰撞，不伤害；下一阶段动作另锁定。 只依赖真实碰撞占位，禁止增加伤害转移/仇恨属性。 源RowName仅是外观复用候选；以上数值与AI都是项目新测试设计，runtime未验证。
验收：同伴A预告后移开，幽灯仍只去旧邻点，不自动跳到A新位置；命中A的伤害不得转移给幽灯。</x:v>
      </x:c>
      <x:c r="J73" s="16" t="str">
        <x:v>参照30HP/5伤害快怪与36HP/8伤害远程模板；瞬移提供位置优势，因此生命不按深层重复放大，保留完整预告和落点失败窗口。</x:v>
      </x:c>
    </x:row>
    <x:row r="74" ht="117" customHeight="1">
      <x:c r="A74" s="14" t="str">
        <x:v>MON_N069</x:v>
      </x:c>
      <x:c r="B74" s="14" t="str">
        <x:v>牵线脑</x:v>
      </x:c>
      <x:c r="C74" s="14" t="str">
        <x:v>单一固定直线触发区，拉近后恢复；不追着区域外的英雄生效。</x:v>
      </x:c>
      <x:c r="D74" s="14" t="str">
        <x:v>1. telegraph 1回合：显示细线触发带、拉动方向及最多1格路径包络。
2. execute 1回合：英雄仍在线带内且安全时按锁定方向拉近最多1格，本动作0伤害。
3. recover 2回合：两阶段不能再次牵引。</x:v>
      </x:c>
      <x:c r="E74" s="14" t="str">
        <x:v>唯一英雄；只在执行时真实碰撞体仍与预告射线带相交才作用。
预告锁源原点、朝向、3格线长和0.35格半宽，以及朝原点方向；发射后不改方向。</x:v>
      </x:c>
      <x:c r="F74" s="14" t="str">
        <x:v>beam_half_width_tiles = 0.35
pull_distance_tiles_max = 1
pull_attempts_max = 3
fallback_melee_ratio = 1
fallback_move_tiles = 0.5
resolve_order = after_all_damage_actions</x:v>
      </x:c>
      <x:c r="G74" s="14" t="str">
        <x:v>发射到细线之外即可落空；靠近后用普通碰撞先击杀低血本体。</x:v>
      </x:c>
      <x:c r="H74" s="14" t="str">
        <x:v>每次位移不伤害、不卡掉玩家下一次发射；同一阶段英雄至多被本怪牵引一次。路径遇固体/演员就截断，不能穿墙或重叠；没有合法落点就取消。耗尽次数后仅使用下一阶段公开的0.5格近战，倍率1。 每敌方阶段最多一次伤害动作；同动作多区域命中只取最高一次。 所有追击在玩家发射前锁定并显示路径、终点与攻击包络；不得按最终停点重新寻路，真实路径被挡即截断并取消到不了的攻击。
硬禁配：F08、F19
组合风险：与F08地面余波、F19可拆路障硬禁；不能把牵引插入其他伤害动作之前。</x:v>
      </x:c>
      <x:c r="I74" s="14" t="str">
        <x:v>敌人牵引是新AI，需用现有物理持续力/位移消费者验证距离与固体停止；不能新增抗拉/韧性属性。所有牵引排在本敌方阶段全部伤害之后，之后不得再结算对英雄伤害；源离开锁定起点超过统一容差即取消。 源RowName仅是外观复用候选；以上数值与AI都是项目新测试设计，runtime未验证。
验收：预告英雄在(2,4)、源(2,1)后，英雄停到(3,4)应不被拉；停在线带内最多拉1格，本阶段拉动后不能再吃一发未结算炮击。</x:v>
      </x:c>
      <x:c r="J74" s="14" t="str">
        <x:v>参照36HP/8伤害远程模板；牵引阶段0伤害，使用位移制造路线压力，低伤备用近战与长恢复限制连续控制。</x:v>
      </x:c>
    </x:row>
    <x:row r="75" ht="117" customHeight="1">
      <x:c r="A75" s="16" t="str">
        <x:v>MON_N070</x:v>
      </x:c>
      <x:c r="B75" s="16" t="str">
        <x:v>侧钩幽脑</x:v>
      </x:c>
      <x:c r="C75" s="16" t="str">
        <x:v>固定圆形触发区加斜侧牵引，作用方向不指向施法者中心。</x:v>
      </x:c>
      <x:c r="D75" s="16" t="str">
        <x:v>1. telegraph 1回合：显示圆区和斜侧牵引的完整移动包络。
2. execute 1回合：英雄仍在圆区才沿固定向量侧牵最多0.8格，不直接造成伤害。
3. recover 2回合：停止牵引两阶段。</x:v>
      </x:c>
      <x:c r="E75" s="16" t="str">
        <x:v>预告时英雄位置为0.65格圆心，侧锚点为源左侧1格合法点；左右无法合法时取消该次。
圆心、侧锚点和从圆心指向侧锚点的单位向量均固定；实际英雄在圆内才沿此固定向量移动。</x:v>
      </x:c>
      <x:c r="F75" s="16" t="str">
        <x:v>trigger_radius_tiles = 0.65
lateral_anchor_offset_tiles = 1
pull_distance_tiles_max = 0.8
pull_attempts_max = 3
fallback_melee_ratio = 1
fallback_move_tiles = 0.5
resolve_order = after_all_damage_actions</x:v>
      </x:c>
      <x:c r="G75" s="16" t="str">
        <x:v>从预告小圆区弹出即可免受位移；不必拥有抗性或位移技能。</x:v>
      </x:c>
      <x:c r="H75" s="16" t="str">
        <x:v>每次位移不伤害、不卡掉玩家下一次发射；同一阶段英雄至多被本怪牵引一次。路径遇固体/演员就截断，不能穿墙或重叠；没有合法落点就取消。耗尽次数后仅使用下一阶段公开的0.5格近战，倍率1。 每敌方阶段最多一次伤害动作；同动作多区域命中只取最高一次。 所有追击在玩家发射前锁定并显示路径、终点与攻击包络；不得按最终停点重新寻路，真实路径被挡即截断并取消到不了的攻击。
硬禁配：F08、F19
组合风险：与F08/F19硬禁；侧锚点附近不能形成只有一个狭窄非法落点的布局。</x:v>
      </x:c>
      <x:c r="I75" s="16" t="str">
        <x:v>敌人牵引是新AI，需用现有物理持续力/位移消费者验证距离与固体停止；不能新增抗拉/韧性属性。所有牵引排在本敌方阶段全部伤害之后，之后不得再结算对英雄伤害；源离开锁定起点超过统一容差即取消。 需展示圆区沿锁定向量的扫掠包络，不把力场动画代替实际位移。 源RowName仅是外观复用候选；以上数值与AI都是项目新测试设计，runtime未验证。
验收：英雄离开圆心0.7格时不牵引；仍在圆内时方向不得重新指向施法者或英雄最终位置，只使用预告固定向量。</x:v>
      </x:c>
      <x:c r="J75" s="16" t="str">
        <x:v>参照36HP/8伤害远程模板；牵引阶段0伤害，使用位移制造路线压力，低伤备用近战与长恢复限制连续控制。</x:v>
      </x:c>
    </x:row>
    <x:row r="76" ht="117" customHeight="1">
      <x:c r="A76" s="14" t="str">
        <x:v>MON_N071</x:v>
      </x:c>
      <x:c r="B76" s="14" t="str">
        <x:v>远钩脑</x:v>
      </x:c>
      <x:c r="C76" s="14" t="str">
        <x:v>射线前2格为空白安全段，2～4格才生效；长牵引配长恢复。</x:v>
      </x:c>
      <x:c r="D76" s="14" t="str">
        <x:v>1. telegraph 1回合：显示2格以内安全空白与2～4格危险线段。
2. execute 1回合：只把仍处外段的英雄沿锁向拉近最多1.5格，0伤害。
3. recover 3回合：三阶段不钩，给近身碰撞窗口。</x:v>
      </x:c>
      <x:c r="E76" s="14" t="str">
        <x:v>唯一英雄，执行时必须同时在线带内且距锁定源原点2～4格。
预告固定0.3格半宽射线及内外距离边界；不能为了命中近身英雄删除安全段。</x:v>
      </x:c>
      <x:c r="F76" s="14" t="str">
        <x:v>beam_half_width_tiles = 0.3
inner_safe_radius_tiles = 2
pull_distance_tiles_max = 1.5
pull_attempts_max = 2
fallback_melee_ratio = 1
fallback_move_tiles = 0.5
resolve_order = after_all_damage_actions</x:v>
      </x:c>
      <x:c r="G76" s="14" t="str">
        <x:v>沿预告进入2格内安全段，或横向离线；恢复期可直接连撞本体。</x:v>
      </x:c>
      <x:c r="H76" s="14" t="str">
        <x:v>每次位移不伤害、不卡掉玩家下一次发射；同一阶段英雄至多被本怪牵引一次。路径遇固体/演员就截断，不能穿墙或重叠；没有合法落点就取消。耗尽次数后仅使用下一阶段公开的0.5格近战，倍率1。 每敌方阶段最多一次伤害动作；同动作多区域命中只取最高一次。 所有追击在玩家发射前锁定并显示路径、终点与攻击包络；不得按最终停点重新寻路，真实路径被挡即截断并取消到不了的攻击。
硬禁配：F08、F19
组合风险：与F08/F19硬禁；远钩不能绕过固体或把英雄拉进演员身体。</x:v>
      </x:c>
      <x:c r="I76" s="14" t="str">
        <x:v>敌人牵引是新AI，需用现有物理持续力/位移消费者验证距离与固体停止；不能新增抗拉/韧性属性。所有牵引排在本敌方阶段全部伤害之后，之后不得再结算对英雄伤害；源离开锁定起点超过统一容差即取消。 源RowName仅是外观复用候选；以上数值与AI都是项目新测试设计，runtime未验证。
验收：英雄停在距源1.8格即使同一直线也不受拉；停在3格且线内最多被拉1.5格，不能瞬移到源中心。</x:v>
      </x:c>
      <x:c r="J76" s="14" t="str">
        <x:v>参照36HP/8伤害远程模板；牵引阶段0伤害，使用位移制造路线压力，低伤备用近战与长恢复限制连续控制。</x:v>
      </x:c>
    </x:row>
    <x:row r="77" ht="117" customHeight="1">
      <x:c r="A77" s="16" t="str">
        <x:v>MON_N072</x:v>
      </x:c>
      <x:c r="B77" s="16" t="str">
        <x:v>折线牵索</x:v>
      </x:c>
      <x:c r="C77" s="16" t="str">
        <x:v>两段互相垂直的固定牵引分别预告；第二段不以第一段命中为条件，也不是拉后向外推。</x:v>
      </x:c>
      <x:c r="D77" s="16" t="str">
        <x:v>1. telegraph 1回合：先显示第一横向牵引和随后纵向点。
2. execute 1回合：第一圆内的英雄横牵最多0.5格，0伤害。
3. telegraph 1回合：再次突出第二固定圆区，保留完整玩家回合。
4. execute 1回合：英雄仍在第二圆内才纵牵最多0.5格，0伤害。
5. recover 2回合：两阶段停止牵引。</x:v>
      </x:c>
      <x:c r="E77" s="16" t="str">
        <x:v>序列开始锁英雄位置P；第一圆心P，第二圆心P沿第一锁向平移0.5格，两圆半径0.55。
两圆心和横向/纵向向量开场一并锁定；左右/上下取朝源方向的轴分量，退化时先左后上。</x:v>
      </x:c>
      <x:c r="F77" s="16" t="str">
        <x:v>trigger_radius_tiles = 0.55
pull_distance_each_tiles_max = 0.5
pull_attempts_max = 4
sequence_segments = 2
fallback_melee_ratio = 1
fallback_move_tiles = 0.5
resolve_order = after_all_damage_actions</x:v>
      </x:c>
      <x:c r="G77" s="16" t="str">
        <x:v>第一次受拉后仍有完整玩家回合，可弹出第二小圆；也可开场直接避开两个区域。</x:v>
      </x:c>
      <x:c r="H77" s="16" t="str">
        <x:v>每次位移不伤害、不卡掉玩家下一次发射；同一阶段英雄至多被本怪牵引一次。路径遇固体/演员就截断，不能穿墙或重叠；没有合法落点就取消。耗尽次数后仅使用下一阶段公开的0.5格近战，倍率1。 每敌方阶段最多一次伤害动作；同动作多区域命中只取最高一次。 所有追击在玩家发射前锁定并显示路径、终点与攻击包络；不得按最终停点重新寻路，真实路径被挡即截断并取消到不了的攻击。
硬禁配：F08、F19
组合风险：与F08/F19硬禁；不得将两次execute合并进同一个敌方阶段。</x:v>
      </x:c>
      <x:c r="I77" s="16" t="str">
        <x:v>敌人牵引是新AI，需用现有物理持续力/位移消费者验证距离与固体停止；不能新增抗拉/韧性属性。所有牵引排在本敌方阶段全部伤害之后，之后不得再结算对英雄伤害；源离开锁定起点超过统一容差即取消。 需保存两段锁定几何及段序号，不能合并成无输入间隔的连续控制。 源RowName仅是外观复用候选；以上数值与AI都是项目新测试设计，runtime未验证。
验收：第一段命中后玩家移出第二圆，第二段必须落空；第一段未命中但英雄主动进入第二圆时只执行第二段。</x:v>
      </x:c>
      <x:c r="J77" s="16" t="str">
        <x:v>参照36HP/8伤害远程模板；牵引阶段0伤害，使用位移制造路线压力，低伤备用近战与长恢复限制连续控制。</x:v>
      </x:c>
    </x:row>
    <x:row r="78" ht="192" customHeight="1">
      <x:c r="A78" s="14" t="str">
        <x:v>MON_N073</x:v>
      </x:c>
      <x:c r="B78" s="14" t="str">
        <x:v>垒墙晶匠</x:v>
      </x:c>
      <x:c r="C78" s="14" t="str">
        <x:v>一次只放一面墙，墙消失后才可能尝试第二次；不同时封两条通路。</x:v>
      </x:c>
      <x:c r="D78" s="14" t="str">
        <x:v>1. telegraph 1回合：显示单墙位置、可拆HP和保留路线。
2. spawn 1回合：合法时创建一面路障，阶段内不攻击。
3. recover 3回合：三阶段不再筑墙；现墙到期移除后才允许下一次。</x:v>
      </x:c>
      <x:c r="E78" s="14" t="str">
        <x:v>取源与预告英雄位置之间、距源1～3格的合法候选点，优先靠近中点，坐标并列y/x；必须保留另一条合法路线。
预告锁点与墙体0.6格宽轮廓，执行只复核，不根据英雄新停点改位置。</x:v>
      </x:c>
      <x:c r="F78" s="14" t="str">
        <x:v>barrier_total_max = 2
reserved_descendant_slots = 2
barrier_hp_scaling = barrier_hp_base×本层HP因子，不乘波次/父精英/旧成长
barrier_rewards = 全部独立奖励为0
barrier_collision_width_tiles = 0.6
fallback_melee_ratio = 1
fallback_move_tiles = 0.5
barrier_hp_base = 12
barrier_alive_max = 1
barrier_lifetime_turns = 3
build_attempts_max = 2</x:v>
      </x:c>
      <x:c r="G78" s="14" t="str">
        <x:v>可沿保留通路绕行，或用基础碰撞拆12×层HP因子的路障；击杀晶匠会清墙。</x:v>
      </x:c>
      <x:c r="H78" s="14" t="str">
        <x:v>路障无伤害、无强固、无独立金币/经验/装备/材料；HP为barrier_hp_base×本层HP因子，不乘波次或精英。全场最多2个、预留2附属实体位，总实体≤6；施法者死亡立即无伤移除其路障。任何放置会封闭全部合法路线时整次取消，不重新选未预告位置。 每敌方阶段最多一次伤害动作；同动作多区域命中只取最高一次。 所有追击在玩家发射前锁定并显示路径、终点与攻击包络；不得按最终停点重新寻路，真实路径被挡即截断并取消到不了的攻击。
硬禁配：F18
组合风险：与F18牵引硬禁；不能与另一筑墙者形成合并后全封闭布局。</x:v>
      </x:c>
      <x:c r="I78" s="14" t="str">
        <x:v>需新可拆路障适配：调用现有实体HP/碰撞，基础碰撞可造成伤害；源筑墙不等于已实现可拆、寿命与无奖励。放置前做连通/净距/真实反弹可达检查。 源RowName仅是外观复用候选；以上数值与AI都是项目新测试设计，runtime未验证。
验收：5×7房间放墙后仍需有至少一条真实可发射通路；若已有障碍让候选墙封死唯一通路，spawn取消且不在别处补墙。</x:v>
      </x:c>
      <x:c r="J78" s="14" t="str">
        <x:v>参照36HP/8伤害远程与75HP/8伤害守卫测试模板；筑墙本身不伤害，费用包括可拆占位与预留附属实体，低直接伤害避免同时堆压。</x:v>
      </x:c>
    </x:row>
    <x:row r="79" ht="222" customHeight="1">
      <x:c r="A79" s="16" t="str">
        <x:v>MON_N074</x:v>
      </x:c>
      <x:c r="B79" s="16" t="str">
        <x:v>双柱晶匠</x:v>
      </x:c>
      <x:c r="C79" s="16" t="str">
        <x:v>一组左右柱一次成形，固定中央净距始终可走；拆一根不会自动拆另一根。</x:v>
      </x:c>
      <x:c r="D79" s="16" t="str">
        <x:v>1. telegraph 1回合：显示两柱和始终开放的中央通道。
2. spawn 1回合：两个锁点均合法才同阶段生成两柱，0伤害。
3. recover 3回合：停筑三阶段，柱到期清除；此后只做公开0.5格近战。</x:v>
      </x:c>
      <x:c r="E79" s="16" t="str">
        <x:v>预告时选择距源≤3格的一排左右两点，优先源前方；两柱间净宽必须大于英雄直径加安全余量，并列y/x。
两轮廓同时锁定；任一点非法或中央净距不足则整组取消。</x:v>
      </x:c>
      <x:c r="F79" s="16" t="str">
        <x:v>barrier_total_max = 2
reserved_descendant_slots = 2
barrier_hp_scaling = barrier_hp_base×本层HP因子，不乘波次/父精英/旧成长
barrier_rewards = 全部独立奖励为0
barrier_collision_width_tiles = 0.6
fallback_melee_ratio = 1
fallback_move_tiles = 0.5
barrier_hp_base = 10
barrier_alive_max = 2
barrier_lifetime_turns = 3
build_attempts_max = 1
pillars_per_attempt = 2
linked_destruction = false</x:v>
      </x:c>
      <x:c r="G79" s="16" t="str">
        <x:v>中央通道可一直使用；也可撞碎一侧柱拓宽反弹角度，或杀施法者清两柱。</x:v>
      </x:c>
      <x:c r="H79" s="16" t="str">
        <x:v>路障无伤害、无强固、无独立金币/经验/装备/材料；HP为barrier_hp_base×本层HP因子，不乘波次或精英。全场最多2个、预留2附属实体位，总实体≤6；施法者死亡立即无伤移除其路障。任何放置会封闭全部合法路线时整次取消，不重新选未预告位置。 每敌方阶段最多一次伤害动作；同动作多区域命中只取最高一次。 所有追击在玩家发射前锁定并显示路径、终点与攻击包络；不得按最终停点重新寻路，真实路径被挡即截断并取消到不了的攻击。
硬禁配：F18
组合风险：与F18硬禁；两柱与旧墙叠加时仍须保留路线和英雄净距。</x:v>
      </x:c>
      <x:c r="I79" s="16" t="str">
        <x:v>需新可拆路障适配：调用现有实体HP/碰撞，基础碰撞可造成伤害；源筑墙不等于已实现可拆、寿命与无奖励。放置前做连通/净距/真实反弹可达检查。 两柱各自有HP，禁止用共享生命池或联动坍塌。 源RowName仅是外观复用候选；以上数值与AI都是项目新测试设计，runtime未验证。
验收：左柱被撞碎后右柱仍存在；中央通路在两柱未破时也必须合法，不能把拆柱作为获得第一条通路的强制条件。</x:v>
      </x:c>
      <x:c r="J79" s="16" t="str">
        <x:v>参照36HP/8伤害远程与75HP/8伤害守卫测试模板；筑墙本身不伤害，费用包括可拆占位与预留附属实体，低直接伤害避免同时堆压。</x:v>
      </x:c>
    </x:row>
    <x:row r="80" ht="207" customHeight="1">
      <x:c r="A80" s="14" t="str">
        <x:v>MON_N075</x:v>
      </x:c>
      <x:c r="B80" s="14" t="str">
        <x:v>轮门筑匠</x:v>
      </x:c>
      <x:c r="C80" s="14" t="str">
        <x:v>两个固定位置错开使用，旧墙必须先移除再预告新墙，而非同时双柱。</x:v>
      </x:c>
      <x:c r="D80" s="14" t="str">
        <x:v>1. telegraph 1回合：没有旧墙时预告当前门位。
2. spawn 1回合：在合法锁点造一墙。
3. recover 2回合：两阶段后先清旧墙，再切换另一点；不允许新旧墙同帧共存。</x:v>
      </x:c>
      <x:c r="E80" s="14" t="str">
        <x:v>出生时选择两处均可保留替代路线的合法门位，按x/y确定左后右；整场不重选。
首次就公布两个固定点和次序；每次施工前单独一完整回合预告。</x:v>
      </x:c>
      <x:c r="F80" s="14" t="str">
        <x:v>barrier_total_max = 2
reserved_descendant_slots = 2
barrier_hp_scaling = barrier_hp_base×本层HP因子，不乘波次/父精英/旧成长
barrier_rewards = 全部独立奖励为0
barrier_collision_width_tiles = 0.6
fallback_melee_ratio = 1
fallback_move_tiles = 0.5
barrier_hp_base = 14
barrier_alive_max = 1
barrier_lifetime_turns = 2
build_attempts_max = 2
old_barrier_removed_before_next_warning = true</x:v>
      </x:c>
      <x:c r="G80" s="14" t="str">
        <x:v>沿目前开放的另一条路径移动；可用普通碰撞提前拆掉当前门，不会因此加速下一道关门。</x:v>
      </x:c>
      <x:c r="H80" s="14" t="str">
        <x:v>路障无伤害、无强固、无独立金币/经验/装备/材料；HP为barrier_hp_base×本层HP因子，不乘波次或精英。全场最多2个、预留2附属实体位，总实体≤6；施法者死亡立即无伤移除其路障。任何放置会封闭全部合法路线时整次取消，不重新选未预告位置。 每敌方阶段最多一次伤害动作；同动作多区域命中只取最高一次。 所有追击在玩家发射前锁定并显示路径、终点与攻击包络；不得按最终停点重新寻路，真实路径被挡即截断并取消到不了的攻击。
硬禁配：F18
组合风险：与F18硬禁；两门位都要分别和现有障碍组合检查，不允许轮换时瞬间全封。</x:v>
      </x:c>
      <x:c r="I80" s="14" t="str">
        <x:v>需新可拆路障适配：调用现有实体HP/碰撞，基础碰撞可造成伤害；源筑墙不等于已实现可拆、寿命与无奖励。放置前做连通/净距/真实反弹可达检查。 需要旧墙清除先于新预告的状态顺序。 源RowName仅是外观复用候选；以上数值与AI都是项目新测试设计，runtime未验证。
验收：左墙尚存时右墙不得生成；左墙提前被击毁也仍等原恢复时点后再预告右墙，不立即补门。</x:v>
      </x:c>
      <x:c r="J80" s="14" t="str">
        <x:v>参照36HP/8伤害远程与75HP/8伤害守卫测试模板；筑墙本身不伤害，费用包括可拆占位与预留附属实体，低直接伤害避免同时堆压。</x:v>
      </x:c>
    </x:row>
    <x:row r="81" ht="192" customHeight="1">
      <x:c r="A81" s="16" t="str">
        <x:v>MON_N076</x:v>
      </x:c>
      <x:c r="B81" s="16" t="str">
        <x:v>护巢筑匠</x:v>
      </x:c>
      <x:c r="C81" s="16" t="str">
        <x:v>墙点围绕预锁同伴选择，墙不跟同伴移动，也不替同伴分摊伤害。</x:v>
      </x:c>
      <x:c r="D81" s="16" t="str">
        <x:v>1. telegraph 1回合：显示同伴正面挡板点及两侧可用路线。
2. spawn 1回合：同伴仍存活且点合法时创建挡板，0伤害。
3. recover 2回合：等待墙消失，不追着同伴连续补板。</x:v>
      </x:c>
      <x:c r="E81" s="16" t="str">
        <x:v>3格内另一初始敌人按HP比例升序、稳定ID选一名；取其朝英雄方向0.8格的合法空点。 挡板点本身仍须距施法者≤3格，否则本次无合法目标。
预告时固定同伴ID和挡板点；同伴移动不搬墙，同伴死亡取消本次放置。</x:v>
      </x:c>
      <x:c r="F81" s="16" t="str">
        <x:v>barrier_total_max = 2
reserved_descendant_slots = 2
barrier_hp_scaling = barrier_hp_base×本层HP因子，不乘波次/父精英/旧成长
barrier_rewards = 全部独立奖励为0
barrier_collision_width_tiles = 0.6
fallback_melee_ratio = 1
fallback_move_tiles = 0.5
barrier_hp_base = 10
barrier_alive_max = 1
barrier_lifetime_turns = 2
build_attempts_max = 2</x:v>
      </x:c>
      <x:c r="G81" s="16" t="str">
        <x:v>可从挡板侧面反弹击中同伴，也可用基础碰撞拆板或优先击杀筑匠。</x:v>
      </x:c>
      <x:c r="H81" s="16" t="str">
        <x:v>路障无伤害、无强固、无独立金币/经验/装备/材料；HP为barrier_hp_base×本层HP因子，不乘波次或精英。全场最多2个、预留2附属实体位，总实体≤6；施法者死亡立即无伤移除其路障。任何放置会封闭全部合法路线时整次取消，不重新选未预告位置。 每敌方阶段最多一次伤害动作；同动作多区域命中只取最高一次。 所有追击在玩家发射前锁定并显示路径、终点与攻击包络；不得按最终停点重新寻路，真实路径被挡即截断并取消到不了的攻击。
硬禁配：F18
组合风险：与F18硬禁；不得把挡板贴在英雄碰撞体内，也不得只剩不可走的微小缝隙。</x:v>
      </x:c>
      <x:c r="I81" s="16" t="str">
        <x:v>需新可拆路障适配：调用现有实体HP/碰撞，基础碰撞可造成伤害；源筑墙不等于已实现可拆、寿命与无奖励。放置前做连通/净距/真实反弹可达检查。 不添加护卫伤害转移或仇恨字段。 源RowName仅是外观复用候选；以上数值与AI都是项目新测试设计，runtime未验证。
验收：目标A在预告后移动1格，挡板仍生成于旧固定点；A死亡则此次取消，不在B前方改建。</x:v>
      </x:c>
      <x:c r="J81" s="16" t="str">
        <x:v>参照36HP/8伤害远程与75HP/8伤害守卫测试模板；筑墙本身不伤害，费用包括可拆占位与预留附属实体，低直接伤害避免同时堆压。</x:v>
      </x:c>
    </x:row>
    <x:row r="82" ht="117" customHeight="1">
      <x:c r="A82" s="14" t="str">
        <x:v>MON_N077</x:v>
      </x:c>
      <x:c r="B82" s="14" t="str">
        <x:v>蓄炮晶塔</x:v>
      </x:c>
      <x:c r="C82" s="14" t="str">
        <x:v>固定单线重炮，恢复期没有回扫或第二发。</x:v>
      </x:c>
      <x:c r="D82" s="14" t="str">
        <x:v>1. telegraph 2回合：连续两个完整玩家回合展示固定炮线和倒计时。
2. execute 1回合：沿炮线发一枚真实投射物，倍率1.8，遇固体停止。
3. recover 2回合：两阶段停炮，不补近战。</x:v>
      </x:c>
      <x:c r="E82" s="14" t="str">
        <x:v>英雄在源5格内时，以预告开始的英雄位置确定射线；目标唯一。
开始蓄炮即锁真实起点、方向、5格射线和0.4格半宽；两个预告回合均不追瞄。</x:v>
      </x:c>
      <x:c r="F82" s="14" t="str">
        <x:v>beam_half_width_tiles = 0.4
projectiles_per_action = 1
damage_delivery = projectile
telegraph_turns = 2
recover_turns = 2</x:v>
      </x:c>
      <x:c r="G82" s="14" t="str">
        <x:v>两回合内离开细长炮线，随后利用停炮期用普通碰撞集火。</x:v>
      </x:c>
      <x:c r="H82" s="14" t="str">
        <x:v>炮击期间不移动，每阶段最多一次伤害动作；同一动作多射线/区域重叠只取最高一次。预告与恢复不普攻，不使用元素抗性或新资源。超射程/无合法几何时空过恢复，不追瞄；墙体阻挡规则须与真实投射一致。 每敌方阶段最多一次伤害动作；同动作多区域命中只取最高一次。 所有追击在玩家发射前锁定并显示路径、终点与攻击包络；不得按最终停点重新寻路，真实路径被挡即截断并取消到不了的攻击。
硬禁配：按全局约束
组合风险：全队远程伤害源≤2；两个炮台的预告不能覆盖全部合法反弹落点。</x:v>
      </x:c>
      <x:c r="I82" s="14" t="str">
        <x:v>需真实投射/区域伤害消费者与世界几何锁定；预告不是命中证据。源被碰撞移离锁定原点超过统一容差时取消本次炮击，不从新位置重算线/区。 源RowName仅是外观复用候选；以上数值与AI都是项目新测试设计，runtime未验证。
验收：F1标准无修饰时命中伤害为12×1.8=21.6，源被推移超过容差则取消；英雄离线即落空，恢复期不得偷偷回扫。</x:v>
      </x:c>
      <x:c r="J82" s="14" t="str">
        <x:v>参照100HP/12伤害重击与36HP/8伤害远程测试基准；蓄炮用长预告和恢复换范围/倍率，成本较高但不按解锁层再次抬基数。</x:v>
      </x:c>
    </x:row>
    <x:row r="83" ht="132" customHeight="1">
      <x:c r="A83" s="16" t="str">
        <x:v>MON_N078</x:v>
      </x:c>
      <x:c r="B83" s="16" t="str">
        <x:v>十字炮簇</x:v>
      </x:c>
      <x:c r="C83" s="16" t="str">
        <x:v>同一动作覆盖正交双轴而不是单线，交叉处也只承受一次伤害。</x:v>
      </x:c>
      <x:c r="D83" s="16" t="str">
        <x:v>1. telegraph 2回合：显示正交双轴与斜向安全扇区。
2. execute 1回合：同阶段沿四方向发射，全部属于一个damageActionId，倍率1.4。
3. recover 2回合：停炮两阶段。</x:v>
      </x:c>
      <x:c r="E83" s="16" t="str">
        <x:v>预告英雄方向作为第一轴，第二轴垂直；源4格外没有合法目标时本次空过。
预告时固定两条穿过源原点的轴，四个方向各延伸4格，半宽0.3；不随英雄旋转。</x:v>
      </x:c>
      <x:c r="F83" s="16" t="str">
        <x:v>axis_count = 2
ray_count = 4
beam_half_width_tiles = 0.3
damage_delivery = projectile
telegraph_turns = 2
recover_turns = 2
same_action_hit_cap = 1</x:v>
      </x:c>
      <x:c r="G83" s="16" t="str">
        <x:v>沿斜向安全扇区弹射，不必穿过交叉中心；恢复期靠近击杀。</x:v>
      </x:c>
      <x:c r="H83" s="16" t="str">
        <x:v>炮击期间不移动，每阶段最多一次伤害动作；同一动作多射线/区域重叠只取最高一次。预告与恢复不普攻，不使用元素抗性或新资源。超射程/无合法几何时空过恢复，不追瞄；墙体阻挡规则须与真实投射一致。 每敌方阶段最多一次伤害动作；同动作多区域命中只取最高一次。 所有追击在玩家发射前锁定并显示路径、终点与攻击包络；不得按最终停点重新寻路，真实路径被挡即截断并取消到不了的攻击。
硬禁配：按全局约束
组合风险：全队远程伤害源≤2；不得再配另一个覆盖剩余安全扇区的炮台而不做几何拒绝。</x:v>
      </x:c>
      <x:c r="I83" s="16" t="str">
        <x:v>需真实投射/区域伤害消费者与世界几何锁定；预告不是命中证据。源被碰撞移离锁定原点超过统一容差时取消本次炮击，不从新位置重算线/区。 同动作四投射物需要统一命中去重，不可按每个子弹分别结算。 源RowName仅是外观复用候选；以上数值与AI都是项目新测试设计，runtime未验证。
验收：英雄同时落在两轴交叉区域时总伤害只为10×1.4=14，不得28或56；离开两轴带应完全落空。</x:v>
      </x:c>
      <x:c r="J83" s="16" t="str">
        <x:v>参照100HP/12伤害重击与36HP/8伤害远程测试基准；蓄炮用长预告和恢复换范围/倍率，成本较高但不按解锁层再次抬基数。</x:v>
      </x:c>
    </x:row>
    <x:row r="84" ht="132" customHeight="1">
      <x:c r="A84" s="14" t="str">
        <x:v>MON_N079</x:v>
      </x:c>
      <x:c r="B84" s="14" t="str">
        <x:v>空心蓄炮者</x:v>
      </x:c>
      <x:c r="C84" s="14" t="str">
        <x:v>锁远处圆环而非由炮塔发出的直线；安全内圈是实际几何，不只是一张提示图。</x:v>
      </x:c>
      <x:c r="D84" s="14" t="str">
        <x:v>1. telegraph 2回合：显示空心圆环与明确安全内圈。
2. execute 1回合：只对真实碰撞体与环带相交的英雄执行一次1.6倍伤害。
3. recover 2回合：炮区立即消失，恢复两阶段，不留下DOT。</x:v>
      </x:c>
      <x:c r="E84" s="14" t="str">
        <x:v>以预告时5格内的英雄位置为圆环中心；不满足射程则本轮空过。
锁世界圆心、内半径0.9格、外半径1.8格；英雄移动后不平移或缩小内圈。</x:v>
      </x:c>
      <x:c r="F84" s="14" t="str">
        <x:v>inner_radius_tiles = 0.9
outer_radius_tiles = 1.8
damage_delivery = direct_area
telegraph_turns = 2
recover_turns = 2
same_action_hit_cap = 1</x:v>
      </x:c>
      <x:c r="G84" s="14" t="str">
        <x:v>可留在安全内圈，也可弹出外圈；预告期间可直接碰撞炮塔打断。</x:v>
      </x:c>
      <x:c r="H84" s="14" t="str">
        <x:v>炮击期间不移动，每阶段最多一次伤害动作；同一动作多射线/区域重叠只取最高一次。预告与恢复不普攻，不使用元素抗性或新资源。超射程/无合法几何时空过恢复，不追瞄；墙体阻挡规则须与真实投射一致。 圆环不留下持续地面伤害，不添加灼烧或抗性。 每敌方阶段最多一次伤害动作；同动作多区域命中只取最高一次。 所有追击在玩家发射前锁定并显示路径、终点与攻击包络；不得按最终停点重新寻路，真实路径被挡即截断并取消到不了的攻击。
硬禁配：按全局约束
组合风险：全队远程伤害源≤2；其他攻击不能把内圈/外圈全部可达安全点封死。</x:v>
      </x:c>
      <x:c r="I84" s="14" t="str">
        <x:v>需真实投射/区域伤害消费者与世界几何锁定；预告不是命中证据。源被碰撞移离锁定原点超过统一容差时取消本次炮击，不从新位置重算线/区。 需准确环带碰撞，不能把外圆整片当命中区。 源RowName仅是外观复用候选；以上数值与AI都是项目新测试设计，runtime未验证。
验收：无其他修饰时环带伤害17.6；英雄碰撞体完整位于0.9格内圈时0伤害，不能因为在外半径内就判命中。</x:v>
      </x:c>
      <x:c r="J84" s="14" t="str">
        <x:v>参照100HP/12伤害重击与36HP/8伤害远程测试基准；蓄炮用长预告和恢复换范围/倍率，成本较高但不按解锁层再次抬基数。</x:v>
      </x:c>
    </x:row>
    <x:row r="85" ht="132" customHeight="1">
      <x:c r="A85" s="16" t="str">
        <x:v>MON_N080</x:v>
      </x:c>
      <x:c r="B85" s="16" t="str">
        <x:v>双点蓄炮者</x:v>
      </x:c>
      <x:c r="C85" s="16" t="str">
        <x:v>两次不同落点各有完整预告间隔；不是同条线回扫，也不在同阶段叠两发。</x:v>
      </x:c>
      <x:c r="D85" s="16" t="str">
        <x:v>1. telegraph 2回合：同时显示两点及先后次序，第一点倒计时2。
2. execute 1回合：仅向第一固定点发射并结算半径0.65格的一次1.25倍伤害。
3. telegraph 1回合：突出第二旧点，保证新的完整玩家回合。
4. execute 1回合：仅向第二固定点发射；同一阶段没有第一发残留伤害。
5. recover 2回合：两发结束，恢复两阶段。</x:v>
      </x:c>
      <x:c r="E85" s="16" t="str">
        <x:v>以预告英雄位置P为基准，沿源到P方向的垂线取左右各0.8格两点；顺序先左后右，两个点均须距源≤5。
序列开始锁两个世界点与顺序；第二次预告只强调旧点，不重新选英雄停点。</x:v>
      </x:c>
      <x:c r="F85" s="16" t="str">
        <x:v>impact_radius_tiles = 0.65
impact_offset_tiles = 0.8
shots_per_sequence = 2
damage_delivery = projectile_area
first_telegraph_turns = 2
second_telegraph_turns = 1
recover_turns = 2
same_phase_shots_max = 1</x:v>
      </x:c>
      <x:c r="G85" s="16" t="str">
        <x:v>第一发之后仍能重新发射离开第二点；也可在两次预告期间撞击本体。</x:v>
      </x:c>
      <x:c r="H85" s="16" t="str">
        <x:v>炮击期间不移动，每阶段最多一次伤害动作；同一动作多射线/区域重叠只取最高一次。预告与恢复不普攻，不使用元素抗性或新资源。超射程/无合法几何时空过恢复，不追瞄；墙体阻挡规则须与真实投射一致。 每敌方阶段最多一次伤害动作；同动作多区域命中只取最高一次。 所有追击在玩家发射前锁定并显示路径、终点与攻击包络；不得按最终停点重新寻路，真实路径被挡即截断并取消到不了的攻击。
硬禁配：按全局约束
组合风险：全队远程伤害源≤2；两点不能与另一炮台合围全部合法落点；第二发不可合并提前结算。</x:v>
      </x:c>
      <x:c r="I85" s="16" t="str">
        <x:v>需真实投射/区域伤害消费者与世界几何锁定；预告不是命中证据。源被碰撞移离锁定原点超过统一容差时取消本次炮击，不从新位置重算线/区。 需两次动作ID、固定点序列和独立完整预告时钟。 源RowName仅是外观复用候选；以上数值与AI都是项目新测试设计，runtime未验证。
验收：首发基础伤害15；第一发后英雄移到第二圆外，第二发应落空；英雄第二回合位置改变不得移动已公开第二圆。</x:v>
      </x:c>
      <x:c r="J85" s="16" t="str">
        <x:v>参照100HP/12伤害重击与36HP/8伤害远程测试基准；蓄炮用长预告和恢复换范围/倍率，成本较高但不按解锁层再次抬基数。</x:v>
      </x:c>
    </x:row>
    <x:row r="86" ht="102" customHeight="1">
      <x:c r="A86" s="14" t="str">
        <x:v>MON_E001</x:v>
      </x:c>
      <x:c r="B86" s="14" t="str">
        <x:v>折路追刃王</x:v>
      </x:c>
      <x:c r="C86" s="14" t="str">
        <x:v>只增加一次预告折角：单段追击变为至多两段的固定路径；每阶段仍只一次接触伤害。
精英新增：只增加一次预告折角：单段追击变为至多两段的固定路径；每阶段仍只一次接触伤害。</x:v>
      </x:c>
      <x:c r="D86" s="14" t="str">
        <x:v>1. move_melee 1回合：预览整条两段路径与终点近战圈；玩家发射后沿该路径移动，接触才攻击一次。</x:v>
      </x:c>
      <x:c r="E86" s="14" t="str">
        <x:v>英雄在意图建立时的位置；先按与X轴平行再与Y轴平行的两段路径接近，转向点在碰撞检验后固定。
所有路径、朝向、点位和行动顺序在玩家发射前固定并显示；玩家发射结束后不按新停点追瞄。锁定目标死亡、离场或落点失效则取消对应动作，不重新选人。</x:v>
      </x:c>
      <x:c r="F86" s="14" t="str">
        <x:v>max_path_segments = 2
max_total_path_tiles = 1.5
contact_radius_tiles = 0.75</x:v>
      </x:c>
      <x:c r="G86" s="14" t="str">
        <x:v>进入折角内侧或把它撞离起点，使真实路径与目标错开；不要站在显示的终点近战圈。</x:v>
      </x:c>
      <x:c r="H86" s="14" t="str">
        <x:v>总移动≤1.5格、最多一个90°转角；碰固体停下；一次持续接触不重复伤害。
硬禁配：按全局约束
组合风险：与牵引或路障同队可能让折角无安全落点；生成器禁止其覆盖全部合法落点。</x:v>
      </x:c>
      <x:c r="I86" s="14" t="str">
        <x:v>实现固定折线路径移动和每阶段命中去重；路径不是动态寻路追踪。；新AI编排待实现。必须调用真实移动/投射/碰撞/伤害消费者，未作运行或玩家验证。
验收：英雄离开预告折线和终点0.75格范围后结束发射：本次追击不得重新折向英雄；HP不因追击扣除。</x:v>
      </x:c>
      <x:c r="J86" s="14" t="str">
        <x:v>以45HP/6基础伤害追击与30HP/5快怪作为项目测试参照；绕侧、处理顺序差异不附送额外攻击，较灵活者降低血量。 均为新设计测试值，不是源敌人原值。 本条基型值保持父型，由统一计算层仅一次应用HP×1.6、Attack×1.2、预算×1.6；额外机制计入这一精英预算，不预乘基型值也不添加随机词缀。</x:v>
      </x:c>
    </x:row>
    <x:row r="87" ht="102" customHeight="1">
      <x:c r="A87" s="16" t="str">
        <x:v>MON_E002</x:v>
      </x:c>
      <x:c r="B87" s="16" t="str">
        <x:v>归轨蛮牛王</x:v>
      </x:c>
      <x:c r="C87" s="16" t="str">
        <x:v>只增加一次原路返程冲锋；返程另给一个完整玩家回合预告，绝不重锁英雄。
精英新增：只增加一次原路返程冲锋；返程另给一个完整玩家回合预告，绝不重锁英雄。</x:v>
      </x:c>
      <x:c r="D87" s="16" t="str">
        <x:v>1. telegraph 1回合：画出出发到终点的冲锋带。
2. execute 1回合：沿锁定路径冲锋；碰固体停止。
3. telegraph 1回合：从实际停止点沿已经通过的路径画返程带。
4. execute 1回合：沿原路返程一次。
5. recover 1回合：停留休整，不造成伤害。</x:v>
      </x:c>
      <x:c r="E87" s="16" t="str">
        <x:v>锁定英雄意图位置形成一条最多2格的直线段；返程终点为首次出发点。
所有路径、朝向、点位和行动顺序在玩家发射前固定并显示；玩家发射结束后不按新停点追瞄。锁定目标死亡、离场或落点失效则取消对应动作，不重新选人。</x:v>
      </x:c>
      <x:c r="F87" s="16" t="str">
        <x:v>charge_width_tiles = 0.65
return_count = 1
return_telegraph_turns = 1
recover_turns = 1</x:v>
      </x:c>
      <x:c r="G87" s="16" t="str">
        <x:v>第一次冲锋后移到路径侧方；返程不追随你，恢复阶段可贴近碰撞。</x:v>
      </x:c>
      <x:c r="H87" s="16" t="str">
        <x:v>每段最多2格；每段各一次伤害；返程只一次；返程起点采用实际停止点，障碍改变时截断不穿墙。
硬禁配：F18
组合风险：与横向牵引同队可能把英雄推回返程线；禁止该组合。</x:v>
      </x:c>
      <x:c r="I87" s="16" t="str">
        <x:v>保留首次经过路径并给返程独立预警/动作ID。；新AI编排待实现。必须调用真实移动/投射/碰撞/伤害消费者，未作运行或玩家验证。
验收：首冲被墙截断在1格处：返程预告只能覆盖该1格已通过路径，不能越墙到原计划2格终点。</x:v>
      </x:c>
      <x:c r="J87" s="16" t="str">
        <x:v>冲锋的路径威胁换取完整预告和恢复轮；基础伤害保持8至9、HP45至60，避免高机动再叠重装耐久。 均为新设计测试值，不是源敌人原值。 本条基型值保持父型，由统一计算层仅一次应用HP×1.6、Attack×1.2、预算×1.6；额外机制计入这一精英预算，不预乘基型值也不添加随机词缀。</x:v>
      </x:c>
    </x:row>
    <x:row r="88" ht="102" customHeight="1">
      <x:c r="A88" s="14" t="str">
        <x:v>MON_E003</x:v>
      </x:c>
      <x:c r="B88" s="14" t="str">
        <x:v>复响定锤王</x:v>
      </x:c>
      <x:c r="C88" s="14" t="str">
        <x:v>只增加一次原点回声；首锤后回声仍锁定原圆心，重新预告一回合。
精英新增：只增加一次原点回声；首锤后回声仍锁定原圆心，重新预告一回合。</x:v>
      </x:c>
      <x:c r="D88" s="14" t="str">
        <x:v>1. telegraph 1回合：显示圆形首锤范围。
2. execute 1回合：首锤造成1.5×基础伤害。
3. telegraph 1回合：原圆心出现回声预警；怪物不重新瞄准。
4. execute 1回合：原圆心回声造成1×基础伤害。
5. recover 1回合：敞开恢复一回合。</x:v>
      </x:c>
      <x:c r="E88" s="14" t="str">
        <x:v>预告时自身脚下为圆心，半径1.25格；不跟随之后的英雄或自身位移。
所有路径、朝向、点位和行动顺序在玩家发射前固定并显示；玩家发射结束后不按新停点追瞄。锁定目标死亡、离场或落点失效则取消对应动作，不重新选人。</x:v>
      </x:c>
      <x:c r="F88" s="14" t="str">
        <x:v>radius_tiles = 1.25
echo_count = 1
echo_damage_ratio = 1
echo_telegraph_turns = 1</x:v>
      </x:c>
      <x:c r="G88" s="14" t="str">
        <x:v>离开原圆圈后攻击怪物侧面；把怪物撞开不会让回声追随它。</x:v>
      </x:c>
      <x:c r="H88" s="14" t="str">
        <x:v>每个阶段最多一次伤害；一次周期仅1回声；两个伤害动作有独立预告和ID；源被实际撞离锁定起点则取消尚未执行的回声，不搬动圆心。
硬禁配：按全局约束
组合风险：与全场封路同队会压缩离圈空间；场上该类延迟区域最多1来源。</x:v>
      </x:c>
      <x:c r="I88" s="14" t="str">
        <x:v>将锁定区域与演员当前位置分离；回声仍需真实范围命中。；新AI编排待实现。必须调用真实移动/投射/碰撞/伤害消费者，未作运行或玩家验证。
验收：首锤后把怪物撞离圆心1.5格：尚未执行的回声取消，不能搬到新脚下；若未撞动，回声才在原半径1.25格圆内结算。</x:v>
      </x:c>
      <x:c r="J88" s="14" t="str">
        <x:v>以100HP/12基础伤害重击参照做下调；重击倍率提高单次威胁，但用不能追瞄、低机动和完整恢复窗口补偿。 均为新设计测试值，不是源敌人原值。 本条基型值保持父型，由统一计算层仅一次应用HP×1.6、Attack×1.2、预算×1.6；额外机制计入这一精英预算，不预乘基型值也不添加随机词缀。</x:v>
      </x:c>
    </x:row>
    <x:row r="89" ht="102" customHeight="1">
      <x:c r="A89" s="16" t="str">
        <x:v>MON_E004</x:v>
      </x:c>
      <x:c r="B89" s="16" t="str">
        <x:v>十字目枪王</x:v>
      </x:c>
      <x:c r="C89" s="16" t="str">
        <x:v>只把单射线改为同一动作的两条垂直射线；交叉点不重复计伤。
精英新增：只把单射线改为同一动作的两条垂直射线；交叉点不重复计伤。</x:v>
      </x:c>
      <x:c r="D89" s="16" t="str">
        <x:v>1. telegraph 1回合：显示十字两射线及各自被墙截断的位置。
2. execute 1回合：同时发射两束可被固体阻挡的投射。
3. recover 1回合：停火一回合。</x:v>
      </x:c>
      <x:c r="E89" s="16" t="str">
        <x:v>预告时主轴指向英雄位置，副轴固定为主轴+90°；两条射线起点均为怪物位置。
所有路径、朝向、点位和行动顺序在玩家发射前固定并显示；玩家发射结束后不按新停点追瞄。锁定目标死亡、离场或落点失效则取消对应动作，不重新选人。</x:v>
      </x:c>
      <x:c r="F89" s="16" t="str">
        <x:v>ray_count = 2
ray_angle_degrees = 90
ray_width_tiles = 0.3
max_hits_per_target_per_action = 1</x:v>
      </x:c>
      <x:c r="G89" s="16" t="str">
        <x:v>进入十字斜角或借掩体挡住对应射线。</x:v>
      </x:c>
      <x:c r="H89" s="16" t="str">
        <x:v>每条最长4格；同一英雄在交点最多承受1×基础伤害；不会从墙后继续延伸。
硬禁配：按全局约束
组合风险：其他远程可能补齐四个斜角；同队远程伤害源≤2且至少留一条合法落点路径。</x:v>
      </x:c>
      <x:c r="I89" s="16" t="str">
        <x:v>共享动作ID聚合两个投射命中，采用最大单次伤害。；新AI编排待实现。必须调用真实移动/投射/碰撞/伤害消费者，未作运行或玩家验证。
验收：英雄位于交点且两束均几何命中：HP仅按一次1×基础伤害结算。</x:v>
      </x:c>
      <x:c r="J89" s="16" t="str">
        <x:v>以36HP/8基础伤害远程参照；长线或双线改变空间覆盖，不额外叠伤，保持低HP且必须先预告。 均为新设计测试值，不是源敌人原值。 本条基型值保持父型，由统一计算层仅一次应用HP×1.6、Attack×1.2、预算×1.6；额外机制计入这一精英预算，不预乘基型值也不添加随机词缀。</x:v>
      </x:c>
    </x:row>
    <x:row r="90" ht="102" customHeight="1">
      <x:c r="A90" s="14" t="str">
        <x:v>MON_E005</x:v>
      </x:c>
      <x:c r="B90" s="14" t="str">
        <x:v>裂口吐息王</x:v>
      </x:c>
      <x:c r="C90" s="14" t="str">
        <x:v>只在原正面扇形中切出固定15°安全缺口；以两侧夹角取代整片扇面。
精英新增：只在原正面扇形中切出固定15°安全缺口；以两侧夹角取代整片扇面。</x:v>
      </x:c>
      <x:c r="D90" s="14" t="str">
        <x:v>1. telegraph 1回合：显示60°外扇与中央15°明确不着色的安全缺口。
2. execute 1回合：两侧扇面同时喷吐，缺口没有命中体。
3. recover 1回合：张口恢复一回合。</x:v>
      </x:c>
      <x:c r="E90" s="14" t="str">
        <x:v>扇形中心轴锁定意图时英雄方向；中心安全缺口与扇形一起锁定。
所有路径、朝向、点位和行动顺序在玩家发射前固定并显示；玩家发射结束后不按新停点追瞄。锁定目标死亡、离场或落点失效则取消对应动作，不重新选人。</x:v>
      </x:c>
      <x:c r="F90" s="14" t="str">
        <x:v>fan_degrees = 60
safe_notch_degrees = 15
range_tiles = 2.5
max_hits_per_target_per_action = 1</x:v>
      </x:c>
      <x:c r="G90" s="14" t="str">
        <x:v>瞄准中央窄安全缺口穿过，或从扇形外侧绕近。</x:v>
      </x:c>
      <x:c r="H90" s="14" t="str">
        <x:v>两侧属于一个动作，交界不叠伤；缺口随距离线性展开且真实命中几何与预告一致。
硬禁配：F18
组合风险：与牵引同队会把安全缺口变成不稳定落点；禁止强位移同队。</x:v>
      </x:c>
      <x:c r="I90" s="14" t="str">
        <x:v>建立带孔扇形命中判定；预告安全缺口必须和碰撞过滤共用几何。；新AI编排待实现。必须调用真实移动/投射/碰撞/伤害消费者，未作运行或玩家验证。
验收：英雄完整碰撞体位于15°安全缺口内：本次喷吐0伤害；距圆心2格、偏轴25°且碰撞体与危险扇面相交时命中一次，不能只测试英雄中心点。</x:v>
      </x:c>
      <x:c r="J90" s="14" t="str">
        <x:v>连续扇面比细射线更占空间，故使用中低HP、7至9基础伤害及恢复轮；内圈/侧背安全区属于数值取舍的一部分。 均为新设计测试值，不是源敌人原值。 本条基型值保持父型，由统一计算层仅一次应用HP×1.6、Attack×1.2、预算×1.6；额外机制计入这一精英预算，不预乘基型值也不添加随机词缀。</x:v>
      </x:c>
    </x:row>
    <x:row r="91" ht="102" customHeight="1">
      <x:c r="A91" s="16" t="str">
        <x:v>MON_E006</x:v>
      </x:c>
      <x:c r="B91" s="16" t="str">
        <x:v>分岔囊炮王</x:v>
      </x:c>
      <x:c r="C91" s="16" t="str">
        <x:v>只把单爆点分为目标两侧的两个固定爆点；两点共用一次伤害动作。
精英新增：只把单爆点分为目标两侧的两个固定爆点；两点共用一次伤害动作。</x:v>
      </x:c>
      <x:c r="D91" s="16" t="str">
        <x:v>1. telegraph 1回合：显示两条投射轨迹、两个半径0.45格爆点和中间安全通道。
2. execute 1回合：同时投两颗；每颗中途碰固体则取消该爆点。
3. recover 1回合：装填一回合。</x:v>
      </x:c>
      <x:c r="E91" s="16" t="str">
        <x:v>取预告时英雄点P，以怪物到P方向的垂线在P两侧各偏移0.9格；非法点直接取消，不追选新点。
所有路径、朝向、点位和行动顺序在玩家发射前固定并显示；玩家发射结束后不按新停点追瞄。锁定目标死亡、离场或落点失效则取消对应动作，不重新选人。</x:v>
      </x:c>
      <x:c r="F91" s="16" t="str">
        <x:v>bomb_count = 2
offset_tiles = 0.9
blast_radius_tiles = 0.45
max_hits_per_target_per_action = 1</x:v>
      </x:c>
      <x:c r="G91" s="16" t="str">
        <x:v>保留在两个小圆之间，或用墙截住其中一条投射轨迹。</x:v>
      </x:c>
      <x:c r="H91" s="16" t="str">
        <x:v>两点同动作最多1次1×伤害；禁止把非法点自动挪向英雄；圆与墙不能重叠产生穿墙爆发。
硬禁配：按全局约束
组合风险：双圆叠加其他封区可能堵尽走廊；几何验证至少保留一个能落脚的安全点。</x:v>
      </x:c>
      <x:c r="I91" s="16" t="str">
        <x:v>固定两个偏移点，投射中断与区域失效必须同步取消预告。；新AI编排待实现。必须调用真实移动/投射/碰撞/伤害消费者，未作运行或玩家验证。
验收：两爆圆半径0.45、偏移0.9；英雄完整碰撞体位于P附近的两圆间隙内：0伤害，不得把中间通道补成第三伤害区；测试必须计入实际角色半径。</x:v>
      </x:c>
      <x:c r="J91" s="16" t="str">
        <x:v>投弹用低频、固定旧落点与较低HP交换范围威胁，多区域不额外叠伤。 HP、基础伤害均为F1标准波新设计测试值，不是源原值。 本条基型值保持父型，由统一计算层仅一次应用HP×1.6、Attack×1.2、预算×1.6；额外机制计入这一精英预算，不预乘基型值也不添加随机词缀。</x:v>
      </x:c>
    </x:row>
    <x:row r="92" ht="102" customHeight="1">
      <x:c r="A92" s="14" t="str">
        <x:v>MON_E007</x:v>
      </x:c>
      <x:c r="B92" s="14" t="str">
        <x:v>空环震王</x:v>
      </x:c>
      <x:c r="C92" s="14" t="str">
        <x:v>只把实心近震改为空心环震；内圈变成明确可用的反制区。
精英新增：只把实心近震改为空心环震；内圈变成明确可用的反制区。</x:v>
      </x:c>
      <x:c r="D92" s="14" t="str">
        <x:v>1. relocate 1回合：先按预告路径无伤移动最多0.5格；不在移位阶段震击。
2. telegraph 1回合：从实际新位置完整预告内半径0.7、外半径1.25格的危险环，中心留空。
3. execute 1回合：只对环带内目标造成伤害。
4. recover 1回合：恢复一回合。</x:v>
      </x:c>
      <x:c r="E92" s="14" t="str">
        <x:v>先按父型规则锁定并完成朝英雄旧位置最多0.5格的无伤移位；下一预告才以实际新位置锁定圆心，内半径0.7格、外半径1.25格。
所有路径、朝向、点位和行动顺序在玩家发射前固定并显示；玩家发射结束后不按新停点追瞄。锁定目标死亡、离场或落点失效则取消对应动作，不重新选人。</x:v>
      </x:c>
      <x:c r="F92" s="14" t="str">
        <x:v>inner_radius_tiles = 0.7
outer_radius_tiles = 1.25
locked_center = true
reposition_tiles = 0.5
reposition_has_damage = false</x:v>
      </x:c>
      <x:c r="G92" s="14" t="str">
        <x:v>冲入0.7格内的安全中心贴近攻击，或退到1.25格外。</x:v>
      </x:c>
      <x:c r="H92" s="14" t="str">
        <x:v>内边界以内不命中；同一目标仅一次；锁定圆心不随撞开移动。
硬禁配：按全局约束
组合风险：和近身持续封区会抹去中心反制；禁止中心安全区叠另一强制伤害源。</x:v>
      </x:c>
      <x:c r="I92" s="14" t="str">
        <x:v>实现内外半径双条件和实际英雄碰撞体安全检查；不能用实心圆代替。；新AI编排待实现。必须调用真实移动/投射/碰撞/伤害消费者，未作运行或玩家验证。
验收：英雄完整碰撞体位于内半径0.7格内时0伤害，位于距圆心1.2格的环带时命中一次。</x:v>
      </x:c>
      <x:c r="J92" s="14" t="str">
        <x:v>圆形几何改变贴近与远离选择，基础伤害保持8且不叠重击倍率，以明确安全区和完整预告交换覆盖。 HP、基础伤害均为F1标准波新设计测试值，不是源原值。 本条基型值保持父型，由统一计算层仅一次应用HP×1.6、Attack×1.2、预算×1.6；额外机制计入这一精英预算，不预乘基型值也不添加随机词缀。</x:v>
      </x:c>
    </x:row>
    <x:row r="93" ht="102" customHeight="1">
      <x:c r="A93" s="16" t="str">
        <x:v>MON_E008</x:v>
      </x:c>
      <x:c r="B93" s="16" t="str">
        <x:v>双序余痕王</x:v>
      </x:c>
      <x:c r="C93" s="16" t="str">
        <x:v>只增加第二处错时余痕；每处仅爆发一次，始终没有永久地面伤害。
精英新增：只增加第二处错时余痕；每处仅爆发一次，始终没有永久地面伤害。</x:v>
      </x:c>
      <x:c r="D93" s="16" t="str">
        <x:v>1. relocate 1回合：按已显示路径无伤退开最多1格，留下旧位1号痕迹及预告2号痕迹；此时无伤害。
2. telegraph 1回合：完整显示编号1、2两个半径0.8格地痕及各自剩余玩家回合。
3. execute 1回合：仅1号爆发并消失；2号继续完整预警。
4. execute 1回合：仅2号爆发并消失。
5. recover 1回合：不造成伤害。</x:v>
      </x:c>
      <x:c r="E93" s="16" t="str">
        <x:v>先记本体旧位置为1号痕迹，再沿背离英雄旧位置的锁定路线无伤移位最多1格；2号痕迹为旧位置沿世界X轴+1.5格，非法即取消，不追英雄停点。
所有路径、朝向、点位和行动顺序在玩家发射前固定并显示；玩家发射结束后不按新停点追瞄。锁定目标死亡、离场或落点失效则取消对应动作，不重新选人。</x:v>
      </x:c>
      <x:c r="F93" s="16" t="str">
        <x:v>mark_count = 2
mark_radius_tiles = 0.8
second_offset_x_tiles = 1.5
stagger_turns = 1
persistent_dot = false</x:v>
      </x:c>
      <x:c r="G93" s="16" t="str">
        <x:v>先避开1号，利用1号消失后的空位躲2号。</x:v>
      </x:c>
      <x:c r="H93" s="16" t="str">
        <x:v>最多2个标记；每处只触发一次；同敌方阶段只一处造成伤害；没有DOT层数。
硬禁配：F18
组合风险：与牵引位移同队会使交替安全点不可控；禁止该组合。</x:v>
      </x:c>
      <x:c r="I93" s="16" t="str">
        <x:v>标记生命周期按玩家回合推进、消失后立即撤销命中区域。；新AI编排待实现。必须调用真实移动/投射/碰撞/伤害消费者，未作运行或玩家验证。
验收：1号已爆发后英雄落到其旧中心、同时在2号圆外：次轮不得被1号再次扣血。</x:v>
      </x:c>
      <x:c r="J93" s="16" t="str">
        <x:v>延迟地面区提供落点压力，但45至60HP和低频一次伤害给基础碰撞拆源窗口；不叠持续DOT。 均为F1标准波新设计测试值，不是源原值。 本条基型值保持父型，由统一计算层仅一次应用HP×1.6、Attack×1.2、预算×1.6；额外机制计入这一精英预算，不预乘基型值也不添加随机词缀。</x:v>
      </x:c>
    </x:row>
    <x:row r="94" ht="102" customHeight="1">
      <x:c r="A94" s="14" t="str">
        <x:v>MON_E009</x:v>
      </x:c>
      <x:c r="B94" s="14" t="str">
        <x:v>转楔盾王</x:v>
      </x:c>
      <x:c r="C94" s="14" t="str">
        <x:v>只增加每周期90°的预告盾面转向；每次玩家发射期间盾面方向固定。
精英新增：只增加每周期90°的预告盾面转向；每次玩家发射期间盾面方向固定。</x:v>
      </x:c>
      <x:c r="D94" s="14" t="str">
        <x:v>1. guard 1回合：完整预览本周期固定90°盾面及下一60°短刺，正面应用35%既有伤害减免来源；本阶段不攻击。
2. move_melee 1回合：撤去守势，沿已预告路径前移最多0.5格，按锁定方向在1格60°前扇内短刺一次。
3. recover 1回合：无守势恢复一回合；下次90°转向提前显示。</x:v>
      </x:c>
      <x:c r="E94" s="14" t="str">
        <x:v>第一周期盾面指向预告时英雄；以后每周期按世界Z轴顺时针固定转90°，不按英雄新位置校正。
所有路径、朝向、点位和行动顺序在玩家发射前固定并显示；玩家发射结束后不按新停点追瞄。锁定目标死亡、离场或落点失效则取消对应动作，不重新选人。</x:v>
      </x:c>
      <x:c r="F94" s="14" t="str">
        <x:v>front_arc_degrees = 90
stab_arc_degrees = 60
quarter_turn_degrees = 90
damage_reduction_ratio = 0.35
guard_duration_turns = 1</x:v>
      </x:c>
      <x:c r="G94" s="14" t="str">
        <x:v>从当前盾面的侧背弹射碰撞；下一周期按可见箭头换边。</x:v>
      </x:c>
      <x:c r="H94" s="14" t="str">
        <x:v>单一盾面来源，最高35%方向减伤；不反伤、不伤害转移、不全向免疫；玩家发射中禁止转盾。
硬禁配：F12
组合风险：全向强固支援会稀释侧背反制；同队不得再有防御覆盖型支援。</x:v>
      </x:c>
      <x:c r="I94" s="14" t="str">
        <x:v>基于命中来向临时应用既有伤害减免%来源；命中后移除/恢复，禁止污染后续侧背命中。；新AI编排待实现。必须调用真实移动/投射/碰撞/伤害消费者，未作运行或玩家验证。
验收：同一玩家发射内连续命中正面与背面：正面按35%减免，背面0盾面减免；盾面不追着英雄转。</x:v>
      </x:c>
      <x:c r="J94" s="14" t="str">
        <x:v>参照75HP/8攻击的项目守卫基准，防御姿态换低机动与较低攻击；减伤只在指定阶段/方向生效，不靠永久高血硬拖。 均为F1标准波新设计测试值，不是源原值。 本条基型值保持父型，由统一计算层仅一次应用HP×1.6、Attack×1.2、预算×1.6；额外机制计入这一精英预算，不预乘基型值也不添加随机词缀。</x:v>
      </x:c>
    </x:row>
    <x:row r="95" ht="102" customHeight="1">
      <x:c r="A95" s="16" t="str">
        <x:v>MON_E010</x:v>
      </x:c>
      <x:c r="B95" s="16" t="str">
        <x:v>破壳枪卫王</x:v>
      </x:c>
      <x:c r="C95" s="16" t="str">
        <x:v>只将开壳的近身攻击替换为2格固定直线突刺；闭合/开壳/恢复窗口保持明确。
精英新增：只将开壳的近身攻击替换为2格固定直线突刺；闭合/开壳/恢复窗口保持明确。</x:v>
      </x:c>
      <x:c r="D95" s="16" t="str">
        <x:v>1. guard 1回合：闭合一轮，正面90°减伤30%，不攻击。
2. telegraph 1回合：开壳完全移除守势，完整预告锁定的2格刺线一玩家回合。
3. execute 1回合：保持开壳无减伤，仅沿锁定刺线突刺一次。
4. recover 1回合：保持开壳恢复，不攻击也无闭合减伤。</x:v>
      </x:c>
      <x:c r="E95" s="16" t="str">
        <x:v>合壳开始锁90°守势朝向；开壳预告时锁定英雄旧位置方向形成宽0.35格、长2格刺线，发射后不追瞄。
所有路径、朝向、点位和行动顺序在玩家发射前固定并显示；玩家发射结束后不按新停点追瞄。锁定目标死亡、离场或落点失效则取消对应动作，不重新选人。</x:v>
      </x:c>
      <x:c r="F95" s="16" t="str">
        <x:v>closed_front_arc_degrees = 90
closed_reduction_ratio = 0.3
thrust_length_tiles = 2
thrust_width_tiles = 0.35</x:v>
      </x:c>
      <x:c r="G95" s="16" t="str">
        <x:v>从闭合侧背进攻，并在开壳预告期离开固定刺线；恢复期可正面输出。</x:v>
      </x:c>
      <x:c r="H95" s="16" t="str">
        <x:v>闭合不同时普攻；减伤只一个来源；突刺真实碰固体停止，同动作最多一次伤害。
硬禁配：F18
组合风险：与牵引组合可能强迫进入刺线；禁强位移同队。</x:v>
      </x:c>
      <x:c r="I95" s="16" t="str">
        <x:v>开合姿态与防御来源生命周期绑定；直线突刺必须用碰撞接口。；新AI编排待实现。必须调用真实移动/投射/碰撞/伤害消费者，未作运行或玩家验证。
验收：英雄在开壳预告后移到刺线侧面0.8格：开壳攻击落空，且此时正面碰撞不再享受闭合减伤。</x:v>
      </x:c>
      <x:c r="J95" s="16" t="str">
        <x:v>以项目75HP/8伤害守卫参照控制开合怪的基础耐久；防御收益换完整无攻击/暴露阶段。N038用较低HP与有限强固交换远程输出，N039降低HP换较高近击，均不是源原值。 本条基型值保持父型，由统一计算层仅一次应用HP×1.6、Attack×1.2、预算×1.6；额外机制计入这一精英预算，不预乘基型值也不添加随机词缀。</x:v>
      </x:c>
    </x:row>
    <x:row r="96" ht="117" customHeight="1">
      <x:c r="A96" s="14" t="str">
        <x:v>MON_E011</x:v>
      </x:c>
      <x:c r="B96" s="14" t="str">
        <x:v>分流缝血主母</x:v>
      </x:c>
      <x:c r="C96" s="14" t="str">
        <x:v>只把一次总治疗量分流给两个预锁同伴，治疗总额不加倍。
精英新增：只把一次总治疗量分流给两个预锁同伴，治疗总额不加倍。</x:v>
      </x:c>
      <x:c r="D96" s="14" t="str">
        <x:v>1. telegraph 1回合：分别显示两个目标、各自治疗份额与连线。
2. support 1回合：为仍存活且仍在3格范围的预锁目标恢复对应份额；总额最多H。
3. recover 1回合：治疗暂停，沿预告固定路线无伤靠近最多1格；下一轮重新建立意图。</x:v>
      </x:c>
      <x:c r="E96" s="14" t="str">
        <x:v>3格内缺血比例最高的两个其他初始敌人，缺血相同比较稳定ID；只剩一个时锁该目标并分配全部H。
所有路径、朝向、点位和行动顺序在玩家发射前固定并显示；玩家发射结束后不按新停点追瞄。锁定目标死亡、离场或落点失效则取消对应动作，不重新选人。</x:v>
      </x:c>
      <x:c r="F96" s="14" t="str">
        <x:v>max_targets = 2
split_rule = two:ceil(H/2),floor(H/2); one:H
redistribute_if_target_lost = false
fallback_melee_range_tiles = 0.6
cast_attempts_max = 4
fallback_melee_ratio = 1
fallback_move_tiles = 1</x:v>
      </x:c>
      <x:c r="G96" s="14" t="str">
        <x:v>在治疗执行前集中击杀一个预锁目标，或把它撞出治疗范围，使对应份额浪费。</x:v>
      </x:c>
      <x:c r="H96" s="14" t="str">
        <x:v>每场最多4次分流治疗；尝试即计次，目标失效也消耗次数；治疗不超最大HP、不治自己，不把失效份额转给另一个；无可选同伴或次数耗尽时使用父条近战预览与一次接触攻击。
硬禁配：F14、F15、F16
组合风险：治疗≤1；不得与孵化、分裂、复生同队。</x:v>
      </x:c>
      <x:c r="I96" s="14" t="str">
        <x:v>同一治疗动作固定H后做整数分配；分别调用既有治疗消费者，并禁本行为暴击/额外治疗漂移。；新AI编排待实现。必须调用真实移动/投射/碰撞/伤害消费者，未作运行或玩家验证。
验收：H=11、预锁A和B：A分6、B分5；A执行前死亡则B仍只恢复5，不能恢复11。</x:v>
      </x:c>
      <x:c r="J96" s="14" t="str">
        <x:v>参照42HP/4伤害/10治疗的原6种项目测试治疗模板；有限治疗换低直接伤害，数值不是源原值。 本条基型值保持父型，由统一计算层仅一次应用HP×1.6、Attack×1.2、预算×1.6；额外机制计入这一精英预算，不预乘基型值也不添加随机词缀。</x:v>
      </x:c>
    </x:row>
    <x:row r="97" ht="132" customHeight="1">
      <x:c r="A97" s="16" t="str">
        <x:v>MON_E012</x:v>
      </x:c>
      <x:c r="B97" s="16" t="str">
        <x:v>回潮授甲王</x:v>
      </x:c>
      <x:c r="C97" s="16" t="str">
        <x:v>只把同一次总强固量拆为相邻两轮的两份，目标与总额保持不变。
精英新增：只把同一次总强固量拆为相邻两轮的两份，目标与总额保持不变。</x:v>
      </x:c>
      <x:c r="D97" s="16" t="str">
        <x:v>1. telegraph 1回合：显示同一目标与两次授甲数额、时间。
2. support 1回合：第一份强固生效；第二份倒计时仍明确显示。
3. support 1回合：经过一个完整玩家回合后，仅对同一合法目标追加第二份。
4. recover 1回合：不授甲，沿已显示的固定路线无伤移动最多1格。</x:v>
      </x:c>
      <x:c r="E97" s="16" t="str">
        <x:v>3格内当前强固最少的另一初始敌人，平局稳定ID；两次份额锁定同一目标。
所有路径、朝向、点位和行动顺序在玩家发射前固定并显示；玩家发射结束后不按新停点追瞄。锁定目标死亡、离场或落点失效则取消对应动作，不重新选人。</x:v>
      </x:c>
      <x:c r="F97" s="16" t="str">
        <x:v>installments = 2
split_rule = first:ceil(F/2); second:floor(F/2)
second_delay_player_turns = 1
fortify_absorb_ratio = 0.5
fallback_melee_range_tiles = 0.6
cast_attempts_max = 3
fallback_melee_ratio = 1
fallback_move_tiles = 1</x:v>
      </x:c>
      <x:c r="G97" s="16" t="str">
        <x:v>第一份后击杀授甲者或把目标撞出3格范围，阻止第二份。</x:v>
      </x:c>
      <x:c r="H97" s="16" t="str">
        <x:v>每场最多3次完整分期；开始尝试即计次，目标失效不退次数；每次总强固≤F；目标死亡/超距/来源死亡取消第二份；该来源全场新增强固总额最多3F，不能重置次数重复领取；需初始化既有强固减伤%=0.5，非全吸收。
硬禁配：F12、F13
组合风险：强固与号令支援合计≤1；不得叠第二强固来源无限补盾。</x:v>
      </x:c>
      <x:c r="I97" s="16" t="str">
        <x:v>保存第二份待发事件并绑定来源生命；使用强固现有管线，缺强固减伤%键时加载验证失败。；新AI编排待实现。必须调用真实移动/投射/碰撞/伤害消费者，未作运行或玩家验证。
验收：F=12：第一份6；随后来源被击杀，次轮不得继续发6；若来源存活且目标存量4，第二份后为10。</x:v>
      </x:c>
      <x:c r="J97" s="16" t="str">
        <x:v>参照75HP/8伤害守卫与42HP/4伤害辅助测试模板，授甲收益用低攻击和有限施法换取；强固量不是源敌人原值。 本条基型值保持父型，由统一计算层仅一次应用HP×1.6、Attack×1.2、预算×1.6；额外机制计入这一精英预算，不预乘基型值也不添加随机词缀。</x:v>
      </x:c>
    </x:row>
    <x:row r="98" ht="147" customHeight="1">
      <x:c r="A98" s="14" t="str">
        <x:v>MON_E013</x:v>
      </x:c>
      <x:c r="B98" s="14" t="str">
        <x:v>接力号令官</x:v>
      </x:c>
      <x:c r="C98" s="14" t="str">
        <x:v>只增加第二位固定接力对象，同一时刻仅一个25%号令来源有效。
精英新增：只增加第二位固定接力对象，同一时刻仅一个25%号令来源有效。</x:v>
      </x:c>
      <x:c r="D98" s="14" t="str">
        <x:v>1. telegraph 1回合：显示完整接力顺序：施法后下一敌方阶段A生效，再后一阶段B生效。
2. support 1回合：登记A在下一敌方阶段的一次伤害+25%，本阶段不立即加成。
3. support 1回合：A按上轮预告生效并在本阶段末移除；同时登记B下阶段的一次伤害+25%。
4. recover 1回合：B按上轮预告生效并在本阶段末移除；不再登记新号令。</x:v>
      </x:c>
      <x:c r="E98" s="14" t="str">
        <x:v>3格内最近的两个可造成直接伤害的初始前排同伴，按距离、稳定ID排序；只有一个时只执行第一棒。
所有路径、朝向、点位和行动顺序在玩家发射前固定并显示；玩家发射结束后不按新停点追瞄。锁定目标死亡、离场或落点失效则取消对应动作，不重新选人。</x:v>
      </x:c>
      <x:c r="F98" s="14" t="str">
        <x:v>relay_targets_max = 2
bonus_actions_each = 1
overlap_allowed = false
buff_start = next_enemy_phase_after_registration
fallback_melee_range_tiles = 0.6
cast_attempts_max = 3
temporary_damage_bonus_ratio = 0.25
fallback_melee_ratio = 1
fallback_move_tiles = 1</x:v>
      </x:c>
      <x:c r="G98" s="14" t="str">
        <x:v>先打掉下一棒目标或号令者；即使让第一棒生效，也可在下一玩家回合取消第二棒。</x:v>
      </x:c>
      <x:c r="H98" s="14" t="str">
        <x:v>每场最多3次接力；开始登记即计次，无效目标不退次数；同一阶段只1受益者、每人1伤害动作；不加攻击次数；来源死亡立即移除待发和现有加成；目标失效不补选。
硬禁配：F12、F13
组合风险：强固与号令支援合计≤1；不得再叠独立号令造成乘数失控。</x:v>
      </x:c>
      <x:c r="I98" s="14" t="str">
        <x:v>使用额外伤害%的带来源修饰；加成登记后必须经过完整玩家回合才生效，动作结束或阶段结束移除。；新AI编排待实现。必须调用真实移动/投射/碰撞/伤害消费者，未作运行或玩家验证。
验收：A本阶段完成伤害后加成必须清除；下一阶段B获得25%时A为0，不可二者同时+25%。</x:v>
      </x:c>
      <x:c r="J98" s="14" t="str">
        <x:v>参照42HP/4伤害辅助模板；号令增加已有同伴一次输出，故自身低伤、次数有限且占支援预算；不是添加队伍新属性。 本条基型值保持父型，由统一计算层仅一次应用HP×1.6、Attack×1.2、预算×1.6；额外机制计入这一精英预算，不预乘基型值也不添加随机词缀。</x:v>
      </x:c>
    </x:row>
    <x:row r="99" ht="252" customHeight="1">
      <x:c r="A99" s="16" t="str">
        <x:v>MON_E014</x:v>
      </x:c>
      <x:c r="B99" s="16" t="str">
        <x:v>错孵双卵王</x:v>
      </x:c>
      <x:c r="C99" s="16" t="str">
        <x:v>只将同一次两后代孵化改为相隔一个完整玩家回合的错峰孵化，总数仍为2。
精英新增：只将同一次两后代孵化改为相隔一个完整玩家回合的错峰孵化，总数仍为2。</x:v>
      </x:c>
      <x:c r="D99" s="16" t="str">
        <x:v>1. telegraph 1回合：同时显示编号1、2的合法出生点与出生时序。
2. spawn 1回合：1号后代出现但本阶段不攻击；2号点继续预告。
3. spawn 1回合：再过一完整玩家回合后2号后代出现，本阶段不攻击。
4. recover 1回合：孵化已用尽；转父条基础近战预览。</x:v>
      </x:c>
      <x:c r="E99" s="16" t="str">
        <x:v>预告母体左右各1格的两个不同合法世界点，先左后右；位置选择沿父条坐标稳定序，无合法点取消对应后代，不另找英雄身边空位。
所有路径、朝向、点位和行动顺序在玩家发射前固定并显示；玩家发射结束后不按新停点追瞄。锁定目标死亡、离场或落点失效则取消对应动作，不重新选人。</x:v>
      </x:c>
      <x:c r="F99" s="16" t="str">
        <x:v>generation_limit = 1
second_delay_player_turns = 1
fallback_melee_range_tiles = 0.6
fallback_melee_ratio = 1
fallback_move_tiles = 0.5
child_definition_id = MON_N001
child_hp_factor = 0.5
child_attack_factor = 0.5
child_factor_basis = 已按本层本波计算的普通MON_N001属性；只乘此因子一次，不乘父体精英或旧成长
descendants_total_max = 2
reserved_descendant_slots = 2
child_first_attack = 出生后至少经过一个完整玩家回合才可按可见追击计划行动
child_rewards = 金币/经验/装备/材料全部为0
spawn_attempts_max = 1</x:v>
      </x:c>
      <x:c r="G99" s="16" t="str">
        <x:v>第一只出生后优先处理孵化者，来源死亡会取消尚未孵出的第二只。</x:v>
      </x:c>
      <x:c r="H99" s="16" t="str">
        <x:v>全场最多2个后代、无精英后代、无后代再召唤；预留两个实体槽，活体/卵/尸骸/墙总数≤6；所有后代无独立金、XP、物品和材料收益；第二次孵化前来源死亡即取消。
硬禁配：F11、F15、F16
组合风险：治疗与孵化不能同队；不能再带分裂或复生挤压后代槽。</x:v>
      </x:c>
      <x:c r="I99" s="16" t="str">
        <x:v>按本项目层/波参数生成缩放N001，覆盖旧召唤成长与全部掉落；预留槽在取消时释放；继承父条子代基准缩放约定。；新AI编排待实现。必须调用真实移动/投射/碰撞/伤害消费者，未作运行或玩家验证。
验收：父体+3同伴共4实体时可预留2槽；第一只出生后击杀父体，第二只不得生成，后代击杀不能重复增加最初成员奖励。</x:v>
      </x:c>
      <x:c r="J99" s="16" t="str">
        <x:v>参照45HP/6伤害近战测试基准；母体伤害低，费用主要为最多两只后代与占位压力预留，不能按解锁层再次抬高基准。 本条基型值保持父型，由统一计算层仅一次应用HP×1.6、Attack×1.2、预算×1.6；额外机制计入这一精英预算，不预乘基型值也不添加随机词缀。</x:v>
      </x:c>
    </x:row>
    <x:row r="100" ht="282" customHeight="1">
      <x:c r="A100" s="14" t="str">
        <x:v>MON_E015</x:v>
      </x:c>
      <x:c r="B100" s="14" t="str">
        <x:v>断后裂球王</x:v>
      </x:c>
      <x:c r="C100" s="14" t="str">
        <x:v>只额外增加尸体原点的一次延迟爆发；分裂后代数量和一代限制不变。
精英新增：只额外增加尸体原点的一次延迟爆发；分裂后代数量和一代限制不变。</x:v>
      </x:c>
      <x:c r="D100" s="14" t="str">
        <x:v>1. move_melee 1回合：生前按父条锁定追击与一次近战行动；死亡分支在致死结算后启用。
事件分支（不循环）：
first_lethal_hit，仅一次：telegraph 1回合：死亡后完整显示原点半径0.6格爆点与两个后代点，等待一完整玩家回合。 → spawn 1回合：原点爆发一次，同时出现两个不得本阶段攻击的后代；旧尸体立即移出实体账。；终态=despawn</x:v>
      </x:c>
      <x:c r="E100" s="14" t="str">
        <x:v>致死时记录原中心，左右出生点沿当时固定世界X轴选取合法空位；爆点永远留原中心。
所有路径、朝向、点位和行动顺序在玩家发射前固定并显示；玩家发射结束后不按新停点追瞄。锁定目标死亡、离场或落点失效则取消对应动作，不重新选人。</x:v>
      </x:c>
      <x:c r="F100" s="14" t="str">
        <x:v>generation_limit = 1
origin_blast_radius_tiles = 0.6
origin_blast_damage_ratio = 0.75
death_telegraph_player_turns = 1
origin_blast_damage_basis = parent scaled attack at current floor/wave, including its elite factor once
death_branch_trigger = first_lethal_hit_only
child_definition_id = MON_N001
child_hp_factor = 0.5
child_attack_factor = 0.5
child_factor_basis = 已按本层本波计算的普通MON_N001属性；只乘此因子一次，不乘父体精英或旧成长
descendants_total_max = 2
reserved_descendant_slots = 2
child_first_attack = 出生后至少经过一个完整玩家回合才可按可见追击计划行动
child_rewards = 金币/经验/装备/材料全部为0
split_attempts_max = 1</x:v>
      </x:c>
      <x:c r="G100" s="14" t="str">
        <x:v>杀死后离开尸体原点；提前把它撞到边缘再击杀可让爆点远离主要落点。</x:v>
      </x:c>
      <x:c r="H100" s="14" t="str">
        <x:v>首次致死立即停止普通行动并退出活体碰撞，仅保留无碰撞待发记录；每场分裂一次，最多2无奖励非精英后代；原点爆发只有一次且与后代出生同一动作编号，后代本阶段0伤害；所有实体含残骸≤6。
硬禁配：F11、F14、F15、F18
组合风险：不得与治疗、额外孵化/分裂或牵引同队；死亡后仍预留后代容量。</x:v>
      </x:c>
      <x:c r="I100" s="14" t="str">
        <x:v>为死亡待发行为建立可见队列；胜利判定需等待该延迟动作/后代结算，禁止死亡立即暗爆；后代覆盖旧成长和全部掉落。；新AI编排待实现。必须调用真实移动/投射/碰撞/伤害消费者，未作运行或玩家验证。
验收：英雄击杀后在爆点圆外等待完整玩家回合：爆发不命中；两后代出现时不能马上攻击，且不继承分裂技能。</x:v>
      </x:c>
      <x:c r="J100" s="14" t="str">
        <x:v>参照45HP/6伤害近战测试基准；母体与有限子体构成总压力，预算预留子体而不把每个生命阶段当独立收益。 本条基型值保持父型，由统一计算层仅一次应用HP×1.6、Attack×1.2、预算×1.6；额外机制计入这一精英预算，不预乘基型值也不添加随机词缀。</x:v>
      </x:c>
    </x:row>
    <x:row r="101" ht="252" customHeight="1">
      <x:c r="A101" s="16" t="str">
        <x:v>MON_E016</x:v>
      </x:c>
      <x:c r="B101" s="16" t="str">
        <x:v>迁骸傀儡王</x:v>
      </x:c>
      <x:c r="C101" s="16" t="str">
        <x:v>只给既有可拆残骸增加最多1格的预告平移；复生仍一次、35%最大生命，强固不刷新。
精英新增：只给既有可拆残骸增加最多1格的预告平移；复生仍一次、35%最大生命，强固不刷新。</x:v>
      </x:c>
      <x:c r="D101" s="16" t="str">
        <x:v>1. move_melee 1回合：生前使用父条近战预览；首次死亡转残骸分支。
事件分支（不循环）：
first_lethal_hit，仅一次：telegraph 1回合：致死当次只显示残骸、两回合倒计时与1格路径，不移动也不造成伤害。 → relocate 1回合：致死后的第一个完整玩家回合结束后，残骸沿锁定路径移动最多0.5格；碰固体停下，不复生。 → relocate 1回合：第二个完整玩家回合结束后，再移动最多0.5格；此动作结束立即以35%最大HP复生、强固为0，本阶段不攻击。；终态=revive</x:v>
      </x:c>
      <x:c r="E101" s="16" t="str">
        <x:v>致死位置指向远离预告时英雄的位置，选最多1格合法路径；无合法路径则原地等待。
所有路径、朝向、点位和行动顺序在玩家发射前固定并显示；玩家发射结束后不按新停点追瞄。锁定目标死亡、离场或落点失效则取消对应动作，不重新选人。</x:v>
      </x:c>
      <x:c r="F101" s="16" t="str">
        <x:v>revive_limit_per_battle = 1
remnant_hp_base = 12
remnant_hp_scaling = remnant_hp_base×本层HP因子；不乘波次或父精英倍率
remains_move_tiles = 1
remains_move_each_turn_tiles = 0.5
revive_wait_player_turns = 2
reset_fortify_on_revive = true
death_branch_trigger = first_lethal_hit_only
normal_cycle_after_revive = resume_move_melee_with_revive_spent_flag
revive_hp_fraction = 0.35
revive_hp_basis = revive_hp_fraction×自身已算本层本波的最大HP，向上取整；不再乘层或精英倍率
reset_reward_ledger = false
reserved_descendant_slots = 1</x:v>
      </x:c>
      <x:c r="G101" s="16" t="str">
        <x:v>用基础碰撞直接击毁12×本层HP因子生命的残骸；可用墙截住它，不能只等它自动消失。</x:v>
      </x:c>
      <x:c r="H101" s="16" t="str">
        <x:v>一场只复生一次；残骸替换父体占同一个实体槽且不奖励；拆毁即永久死亡；复生强固=0、不刷新支援次数、不重跑战斗开始奖励/护盾；复生当阶段不攻击，下一完整玩家回合后才可恢复普通行动；两次死亡合计只一份原始奖励。
硬禁配：F11、F14、F15、F16
组合风险：禁止与治疗、孵化、分裂或另一复生者同队。</x:v>
      </x:c>
      <x:c r="I101" s="16" t="str">
        <x:v>残骸沿真实碰撞移动，碰墙停；复用reset时必须覆盖回满HP为35%、恢复一次标记并禁止源强固重放。；新AI编排待实现。必须调用真实移动/投射/碰撞/伤害消费者，未作运行或玩家验证。
验收：层HP因子1、已成长最大HP100：残骸HP12；两完整玩家回合未拆后复生HP35、强固0；若第二回合前残骸被打掉12则永不复生。</x:v>
      </x:c>
      <x:c r="J101" s="16" t="str">
        <x:v>参照75HP/8伤害守卫模板下调第一条生命；第二生命与可拆残骸计入预算，不等于源重生傀儡已经有此机制。 本条基型值保持父型，由统一计算层仅一次应用HP×1.6、Attack×1.2、预算×1.6；额外机制计入这一精英预算，不预乘基型值也不添加随机词缀。</x:v>
      </x:c>
    </x:row>
    <x:row r="102" ht="117" customHeight="1">
      <x:c r="A102" s="14" t="str">
        <x:v>MON_E017</x:v>
      </x:c>
      <x:c r="B102" s="14" t="str">
        <x:v>双迁幽灯王</x:v>
      </x:c>
      <x:c r="C102" s="14" t="str">
        <x:v>只增加第二个连续瞬移点，两次瞬移都不造成伤害，也不获得整回合免疫。
精英新增：只增加第二个连续瞬移点，两次瞬移都不造成伤害，也不获得整回合免疫。</x:v>
      </x:c>
      <x:c r="D102" s="14" t="str">
        <x:v>1. telegraph 1回合：同时标明P1、P2与先后顺序。
2. relocate 1回合：移至P1，本阶段0伤害；在P1保持可被正常碰撞。
3. relocate 1回合：经过完整玩家回合后移至P2，本阶段0伤害；P2失效则留P1。
4. move_melee 1回合：新玩家回合前另锁1格路径，再依父条近战规则接触攻击一次。
5. recover 1回合：完整恢复一阶段。</x:v>
      </x:c>
      <x:c r="E102" s="14" t="str">
        <x:v>按父型先选英雄侧方左1格、再右1格的P1候选，距原起点须≤2格；P2=P1沿世界X轴+1.5格且距P1≤2格，两点首次预告时固定。剩余尝试只有1次时只预告P1。
所有路径、朝向、点位和行动顺序在玩家发射前固定并显示；玩家发射结束后不按新停点追瞄。锁定目标死亡、离场或落点失效则取消对应动作，不重新选人。</x:v>
      </x:c>
      <x:c r="F102" s="14" t="str">
        <x:v>teleport_count = 2
teleport_attempts_max = 3
teleport_distance_tiles_max = 2
first_point_side_offset_tiles = 1
second_point_offset_tiles = 1.5
landing_clearance_tiles = 0.7
whole_turn_immunity = false</x:v>
      </x:c>
      <x:c r="G102" s="14" t="str">
        <x:v>利用两个无伤害窗口碰撞当前落点；提前占住P2可让第二跳取消。</x:v>
      </x:c>
      <x:c r="H102" s="14" t="str">
        <x:v>全场最多3次瞬移尝试，每跳各消耗1次且失败不返还；两跳之间至少一完整玩家回合。P1失效取消整条链并进入恢复；P2失效留P1进入恢复，不在失败阶段补攻。次数耗尽后仅使用父条预告近战。不关闭整个玩家回合碰撞，不挪到新点偷袭。
硬禁配：按全局约束
组合风险：不得与封区/路障把两处落点都藏入不可达空间；必须保留基础碰撞攻击路径。</x:v>
      </x:c>
      <x:c r="I102" s="14" t="str">
        <x:v>分离瞬移视觉与实体可命中性；验落点不能使用源空候选(0,0,0)回退；每跳后重建下一可见意图。；新AI编排待实现。必须调用真实移动/投射/碰撞/伤害消费者，未作运行或玩家验证。
验收：第一跳到P1后玩家直接撞击P1：正常伤害生效；P2被实体占据时第二跳取消而非穿入占据者。</x:v>
      </x:c>
      <x:c r="J102" s="14" t="str">
        <x:v>参照30HP/5伤害快怪与36HP/8伤害远程模板；瞬移提供位置优势，因此生命不按深层重复放大，保留完整预告和落点失败窗口。 本条基型值保持父型，由统一计算层仅一次应用HP×1.6、Attack×1.2、预算×1.6；额外机制计入这一精英预算，不预乘基型值也不添加随机词缀。</x:v>
      </x:c>
    </x:row>
    <x:row r="103" ht="147" customHeight="1">
      <x:c r="A103" s="16" t="str">
        <x:v>MON_E018</x:v>
      </x:c>
      <x:c r="B103" s="16" t="str">
        <x:v>回拨牵线王</x:v>
      </x:c>
      <x:c r="C103" s="16" t="str">
        <x:v>只在成功牵引后增加一次预告反向外推；两次位移均最后结算且不带伤害。
精英新增：只在成功牵引后增加一次预告反向外推；两次位移均最后结算且不带伤害。</x:v>
      </x:c>
      <x:c r="D103" s="16" t="str">
        <x:v>1. telegraph 1回合：预告直线牵引带与最多1格的拉动终点。
2. execute 1回合：带内才沿锁定轴拉近最多1格；所有伤害动作之后结算，本怪不伤害。
3. telegraph 1回合：仅拉中时显示同轴反推带与终点。
4. execute 1回合：仍在反推带才外推最多1格；本怪不伤害，固体前停。
5. recover 2回合：完整停止控制两回合。</x:v>
      </x:c>
      <x:c r="E103" s="16" t="str">
        <x:v>首轮锁定怪物到英雄的直线带；拉中才记录下一次以同一轴线向外的推送，轴线仍不追瞄。
所有路径、朝向、点位和行动顺序在玩家发射前固定并显示；玩家发射结束后不按新停点追瞄。锁定目标死亡、离场或落点失效则取消对应动作，不重新选人。</x:v>
      </x:c>
      <x:c r="F103" s="16" t="str">
        <x:v>pull_distance_tiles = 1
push_distance_tiles = 1
beam_half_width_tiles = 0.35
pull_attempts_max = 3
fallback_melee_ratio = 1
fallback_move_tiles = 0.5
push_telegraph_player_turns = 1
damage_during_displacement = 0
resolve_after_damage = true</x:v>
      </x:c>
      <x:c r="G103" s="16" t="str">
        <x:v>第一次离开牵引带即可取消后续反推；被拉中后再横向脱离反推带。</x:v>
      </x:c>
      <x:c r="H103" s="16" t="str">
        <x:v>每场最多3次牵引尝试，失败也消耗次数；每个成功拉动最多带1次反推，每周期最多拉1次推1次；每次≤1格；不追加碰撞伤害、不造成跌落/穿墙死亡；被拉后所有本阶段伤害已经结算，不追加新追击；次数耗尽后只用下一玩家回合前公开的0.5格近战，1倍基础伤害。
硬禁配：F08、F18、F19
组合风险：强位移与持续封区/地面余波不能同队；本怪不与另一强位移同队。</x:v>
      </x:c>
      <x:c r="I103" s="16" t="str">
        <x:v>位移发生后不重算其他已结算攻击；真实碰撞停靠与几何锁定需测试；拉未命中则跳过后续两阶段。；新AI编排待实现。必须调用真实移动/投射/碰撞/伤害消费者，未作运行或玩家验证。
验收：英雄首轮不在带内：0位移，后续不生成反推；拉中后被墙挡0.4格则只移动0.4格，HP不因该位移扣除。</x:v>
      </x:c>
      <x:c r="J103" s="16" t="str">
        <x:v>参照36HP/8伤害远程模板；牵引阶段0伤害，使用位移制造路线压力，低伤备用近战与长恢复限制连续控制。 本条基型值保持父型，由统一计算层仅一次应用HP×1.6、Attack×1.2、预算×1.6；额外机制计入这一精英预算，不预乘基型值也不添加随机词缀。</x:v>
      </x:c>
    </x:row>
    <x:row r="104" ht="222" customHeight="1">
      <x:c r="A104" s="14" t="str">
        <x:v>MON_E019</x:v>
      </x:c>
      <x:c r="B104" s="14" t="str">
        <x:v>双锁垒墙王</x:v>
      </x:c>
      <x:c r="C104" s="14" t="str">
        <x:v>只把单墙改为一组双墙联动路障；拆任一墙都会移除整组，任何时刻仍保留现有基础路线。
精英新增：只把单墙改为一组双墙联动路障；拆任一墙都会移除整组，任何时刻仍保留现有基础路线。</x:v>
      </x:c>
      <x:c r="D104" s="14" t="str">
        <x:v>1. telegraph 1回合：显示两面墙位置、HP和自然消失倒计时；不在玩家脚下生成。
2. spawn 1回合：生成两面墙，本阶段0伤害。
3. recover 3回合：三完整玩家回合后自动拆除；此后转父条已预告的0.5格基础近战。</x:v>
      </x:c>
      <x:c r="E104" s="14" t="str">
        <x:v>在施法者3格内枚举合法空格对，按离预告英雄位置总距离、坐标序排序，取第一组满足原路线不被封死且拆任一墙会打开额外通路的格对；无合法组取消。
所有路径、朝向、点位和行动顺序在玩家发射前固定并显示；玩家发射结束后不按新停点追瞄。锁定目标死亡、离场或落点失效则取消对应动作，不重新选人。</x:v>
      </x:c>
      <x:c r="F104" s="14" t="str">
        <x:v>barriers_per_cast = 2
barrier_hp_base = 12
barrier_hp_scaling = barrier_hp_base multiplied by floor HP factor only; no wave or elite factor
barrier_collision_width_tiles = 0.6
linked_collapse_on_either_destroyed = true
must_keep_initial_route_open = true
fallback_melee_range_tiles = 0.6
fallback_melee_ratio = 1
fallback_move_tiles = 0.5
barrier_alive_max = 2
barrier_lifetime_turns = 3
group_cast_attempts_max = 1
barrier_total_max = 2</x:v>
      </x:c>
      <x:c r="G104" s="14" t="str">
        <x:v>选择最容易碰到的一面，用基础碰撞打穿后两面都会倒；不拆也始终保留一条已验证路线。</x:v>
      </x:c>
      <x:c r="H104" s="14" t="str">
        <x:v>每场只建一次、存活墙最多2、总实体≤6；每墙HP为父型固定基值12×本层HP因子取整至少1，不乘波次/父精英；仍为既有生命字段；墙无伤害、无独立奖励；任何一墙被拆或来源死亡则整组立即坍塌、无伤害；失败合法性测试则整次建墙取消。
硬禁配：F08、F18
组合风险：实体预算必须包含2面墙；不得与强位移或持续封区同队。</x:v>
      </x:c>
      <x:c r="I104" s="14" t="str">
        <x:v>将路障建成可受基础碰撞伤害的现有生命实体；检验出生/终点/出口连通和真实发射可达，计时结束或任一墙死亡时即时移除整组碰撞。；新AI编排待实现。必须调用真实移动/投射/碰撞/伤害消费者，未作运行或玩家验证。
验收：建墙候选会阻断唯一通路时必须取消生成；合法生成后对任一墙造成12×本层HP因子的实际生命伤害，两墙碰撞体均在同帧移除并打开额外路线。</x:v>
      </x:c>
      <x:c r="J104" s="14" t="str">
        <x:v>参照36HP/8伤害远程与75HP/8伤害守卫测试模板；筑墙本身不伤害，费用包括可拆占位与预留附属实体，低直接伤害避免同时堆压。 本条基型值保持父型，由统一计算层仅一次应用HP×1.6、Attack×1.2、预算×1.6；额外机制计入这一精英预算，不预乘基型值也不添加随机词缀。</x:v>
      </x:c>
    </x:row>
    <x:row r="105" ht="102" customHeight="1">
      <x:c r="A105" s="17" t="str">
        <x:v>MON_E020</x:v>
      </x:c>
      <x:c r="B105" s="17" t="str">
        <x:v>复线蓄炮王</x:v>
      </x:c>
      <x:c r="C105" s="17" t="str">
        <x:v>只增加一次沿原锁定直线的复射；第二炮不重新追踪英雄。
精英新增：只增加一次沿原锁定直线的复射；第二炮不重新追踪英雄。</x:v>
      </x:c>
      <x:c r="D105" s="17" t="str">
        <x:v>1. telegraph 2回合：完整蓄力两回合，显示固定炮道与墙体截断。
2. execute 1回合：沿固定炮道发射第一炮。
3. telegraph 1回合：原线第二炮预告一完整玩家回合，不移动瞄点。
4. execute 1回合：沿原线复射一次。
5. recover 2回合：冷却两回合；不开炮。</x:v>
      </x:c>
      <x:c r="E105" s="17" t="str">
        <x:v>首次锁定怪物位置至英雄意图位置的直线炮道，两次炮击沿同一条已显示线段。
所有路径、朝向、点位和行动顺序在玩家发射前固定并显示；玩家发射结束后不按新停点追瞄。锁定目标死亡、离场或落点失效则取消对应动作，不重新选人。</x:v>
      </x:c>
      <x:c r="F105" s="17" t="str">
        <x:v>first_telegraph_player_turns = 2
second_telegraph_player_turns = 1
beam_half_width_tiles = 0.4
repeat_count = 1
recover_turns = 2</x:v>
      </x:c>
      <x:c r="G105" s="17" t="str">
        <x:v>从侧面离开整条炮道；第一炮后也可保持侧面位置攻击它，等待明显恢复窗口。</x:v>
      </x:c>
      <x:c r="H105" s="17" t="str">
        <x:v>一次周期两炮，各有完整预警；每炮对同目标最多一次1.8×伤害；新墙出现时每炮重新做沿原线遮挡，不追踪修正。
硬禁配：F18
组合风险：其他远程/推拉可能堵住侧面；远程伤害源≤2、禁止强位移同队。</x:v>
      </x:c>
      <x:c r="I105" s="17" t="str">
        <x:v>两次投射共用锁定线但分开动作ID；第二炮真实重查固体遮挡；不继承原源连击/暴击。；新AI编排待实现。必须调用真实移动/投射/碰撞/伤害消费者，未作运行或玩家验证。
验收：第一炮后英雄横移至炮道外，第二预告仍留原线；复射不能转向，英雄HP不因复射扣除。</x:v>
      </x:c>
      <x:c r="J105" s="17" t="str">
        <x:v>参照100HP/12伤害重击与36HP/8伤害远程测试基准；蓄炮用长预告和恢复换范围/倍率，成本较高但不按解锁层再次抬基数。 本条基型值保持父型，由统一计算层仅一次应用HP×1.6、Attack×1.2、预算×1.6；额外机制计入这一精英预算，不预乘基型值也不添加随机词缀。</x:v>
      </x:c>
    </x:row>
  </x:sheetData>
  <x:pageMargins left="0.7" right="0.7" top="0.75" bottom="0.75" header="0.3" footer="0.3"/>
  <x:tableParts count="1">
    <x:tablePart xmlns:r="http://schemas.openxmlformats.org/officeDocument/2006/relationships" r:id="R4e1261cce9144aac"/>
  </x:tableParts>
</x:worksheet>
</file>

<file path=xl/worksheets/sheet3.xml><?xml version="1.0" encoding="utf-8"?>
<x:worksheet xmlns:x="http://schemas.openxmlformats.org/spreadsheetml/2006/main">
  <x:sheetPr>
    <x:tabColor rgb="FFA3793D"/>
  </x:sheetPr>
  <x:sheetViews>
    <x:sheetView showGridLines="0" workbookViewId="0">
      <x:pane xSplit="2" ySplit="8" topLeftCell="C9" activePane="bottomRight" state="frozen"/>
    </x:sheetView>
  </x:sheetViews>
  <x:sheetFormatPr defaultRowHeight="15"/>
  <x:cols>
    <x:col min="1" max="1" width="22.219999313354492" hidden="0" customWidth="1"/>
    <x:col min="2" max="2" width="16.110000610351562" hidden="0" customWidth="1"/>
    <x:col min="3" max="3" width="13.329999923706055" hidden="0" customWidth="1"/>
    <x:col min="4" max="4" width="7.559999942779541" hidden="0" customWidth="1"/>
    <x:col min="5" max="5" width="11.670000076293945" hidden="0" customWidth="1"/>
    <x:col min="6" max="6" width="11.109999656677246" hidden="0" customWidth="1"/>
    <x:col min="7" max="7" width="15" hidden="0" customWidth="1"/>
    <x:col min="8" max="8" width="11.670000076293945" hidden="0" customWidth="1"/>
    <x:col min="9" max="9" width="11.670000076293945" hidden="0" customWidth="1"/>
    <x:col min="10" max="10" width="11.109999656677246" hidden="0" customWidth="1"/>
    <x:col min="11" max="11" width="12.779999732971191" hidden="0" customWidth="1"/>
    <x:col min="12" max="12" width="16.670000076293945" hidden="0" customWidth="1"/>
  </x:cols>
  <x:sheetData>
    <x:row r="1" ht="9" customHeight="1">
      <x:c r="A1" s="3"/>
      <x:c r="B1" s="3"/>
      <x:c r="C1" s="3"/>
      <x:c r="D1" s="3"/>
      <x:c r="E1" s="3"/>
      <x:c r="F1" s="3"/>
      <x:c r="G1" s="3"/>
      <x:c r="H1" s="3"/>
      <x:c r="I1" s="3"/>
      <x:c r="J1" s="3"/>
      <x:c r="K1" s="3"/>
      <x:c r="L1" s="3"/>
    </x:row>
    <x:row r="2" ht="24" customHeight="1">
      <x:c r="A2" s="4" t="str">
        <x:v>按层数与波次推演属性</x:v>
      </x:c>
      <x:c r="B2" s="3"/>
      <x:c r="C2" s="3"/>
      <x:c r="D2" s="3"/>
      <x:c r="E2" s="3"/>
      <x:c r="F2" s="3"/>
      <x:c r="G2" s="3"/>
      <x:c r="H2" s="3"/>
      <x:c r="I2" s="3"/>
      <x:c r="J2" s="3"/>
      <x:c r="K2" s="3"/>
      <x:c r="L2" s="3"/>
    </x:row>
    <x:row r="3" ht="21" customHeight="1">
      <x:c r="A3" s="5" t="str">
        <x:v>黄色单元格可调整。未解锁行仍显示假设同层数值；已达门槛仍须满足预算、配队和空间限制；主动作伤害不含临时增益、目标减伤或其他分支。</x:v>
      </x:c>
      <x:c r="B3" s="3"/>
      <x:c r="C3" s="3"/>
      <x:c r="D3" s="3"/>
      <x:c r="E3" s="3"/>
      <x:c r="F3" s="3"/>
      <x:c r="G3" s="3"/>
      <x:c r="H3" s="3"/>
      <x:c r="I3" s="3"/>
      <x:c r="J3" s="3"/>
      <x:c r="K3" s="3"/>
      <x:c r="L3" s="3"/>
    </x:row>
    <x:row r="4" ht="22.5" customHeight="1">
      <x:c r="A4" s="3" t="str">
        <x:v>地牢层</x:v>
      </x:c>
      <x:c r="B4" s="30" t="n">
        <x:v>1</x:v>
      </x:c>
      <x:c r="C4" s="3"/>
      <x:c r="D4" s="3" t="str">
        <x:v>波次</x:v>
      </x:c>
      <x:c r="E4" s="30" t="n">
        <x:v>3</x:v>
      </x:c>
      <x:c r="F4" s="3"/>
      <x:c r="G4" s="3" t="str">
        <x:v>核查上限</x:v>
      </x:c>
      <x:c r="H4" s="3" t="n">
        <x:v>100</x:v>
      </x:c>
      <x:c r="I4" s="3"/>
      <x:c r="J4" s="3"/>
      <x:c r="K4" s="3"/>
      <x:c r="L4" s="3"/>
    </x:row>
    <x:row r="5" ht="22.5" customHeight="1">
      <x:c r="A5" s="3" t="str">
        <x:v>层生命倍率</x:v>
      </x:c>
      <x:c r="B5" s="34" t="n">
        <x:f>IF($B$6="有效",IF(B4=1,$B$128,$B$120*POWER($B$123,(B4-2)/$B$122)),"输入无效")</x:f>
        <x:v>1</x:v>
      </x:c>
      <x:c r="C5" s="3"/>
      <x:c r="D5" s="3" t="str">
        <x:v>层伤害倍率</x:v>
      </x:c>
      <x:c r="E5" s="34" t="n">
        <x:f>IF($B$6="有效",IF(B4=1,$B$129,$B$121*POWER($B$124,(B4-2)/$B$122)),"输入无效")</x:f>
        <x:v>1</x:v>
      </x:c>
      <x:c r="F5" s="3"/>
      <x:c r="G5" s="3" t="str">
        <x:v>波生命倍率</x:v>
      </x:c>
      <x:c r="H5" s="34" t="n">
        <x:f>IF($B$6="有效",INDEX($F$120:$K$120,1,E4),"输入无效")</x:f>
        <x:v>1</x:v>
      </x:c>
      <x:c r="I5" s="3"/>
      <x:c r="J5" s="3" t="str">
        <x:v>波伤害倍率</x:v>
      </x:c>
      <x:c r="K5" s="34" t="n">
        <x:f>IF($B$6="有效",INDEX($F$121:$K$121,1,E4),"输入无效")</x:f>
        <x:v>0.92</x:v>
      </x:c>
      <x:c r="L5" s="3"/>
    </x:row>
    <x:row r="6" ht="22.5" customHeight="1">
      <x:c r="A6" s="3" t="str">
        <x:v>输入状态</x:v>
      </x:c>
      <x:c r="B6" s="3" t="str">
        <x:f>IF(AND(ISNUMBER(B4),ISNUMBER(E4),B4&gt;=1,B4&lt;=H4,B4=INT(B4),E4&gt;=1,E4&lt;=6,E4=INT(E4)),"有效","输入无效")</x:f>
        <x:v>有效</x:v>
      </x:c>
      <x:c r="C6" s="3"/>
      <x:c r="D6" s="3"/>
      <x:c r="E6" s="3"/>
      <x:c r="F6" s="3"/>
      <x:c r="G6" s="3"/>
      <x:c r="H6" s="3"/>
      <x:c r="I6" s="3"/>
      <x:c r="J6" s="3"/>
      <x:c r="K6" s="3"/>
      <x:c r="L6" s="3"/>
    </x:row>
    <x:row r="7">
      <x:c r="A7" s="6"/>
      <x:c r="B7" s="6"/>
      <x:c r="C7" s="6"/>
      <x:c r="D7" s="6"/>
      <x:c r="E7" s="6"/>
      <x:c r="F7" s="6"/>
      <x:c r="G7" s="6"/>
      <x:c r="H7" s="6"/>
      <x:c r="I7" s="6"/>
      <x:c r="J7" s="6"/>
      <x:c r="K7" s="6"/>
      <x:c r="L7" s="6"/>
    </x:row>
    <x:row r="8" ht="36" customHeight="1">
      <x:c r="A8" s="10" t="str">
        <x:v>编号</x:v>
      </x:c>
      <x:c r="B8" s="10" t="str">
        <x:v>怪物名称</x:v>
      </x:c>
      <x:c r="C8" s="10" t="str">
        <x:v>层/波门槛</x:v>
      </x:c>
      <x:c r="D8" s="10" t="str">
        <x:v>分类</x:v>
      </x:c>
      <x:c r="E8" s="10" t="str">
        <x:v>实际生命</x:v>
      </x:c>
      <x:c r="F8" s="10" t="str">
        <x:v>基础伤害</x:v>
      </x:c>
      <x:c r="G8" s="10" t="str">
        <x:v>主动作参考伤害</x:v>
      </x:c>
      <x:c r="H8" s="10" t="str">
        <x:v>一次治愈</x:v>
      </x:c>
      <x:c r="I8" s="10" t="str">
        <x:v>一次强固</x:v>
      </x:c>
      <x:c r="J8" s="10" t="str">
        <x:v>有效预算</x:v>
      </x:c>
      <x:c r="K8" s="10" t="str">
        <x:v>总实体预留</x:v>
      </x:c>
      <x:c r="L8" s="10" t="str">
        <x:v>解锁层标准波生命</x:v>
      </x:c>
    </x:row>
    <x:row r="9" ht="31.5" customHeight="1">
      <x:c r="A9" s="13" t="str">
        <x:v>MON_N001</x:v>
      </x:c>
      <x:c r="B9" s="13" t="str">
        <x:f>INDEX('怪物总表'!$B$6:$B$105,MATCH(A9,'怪物总表'!$A$6:$A$105,0))</x:f>
        <x:v>追刃尸</x:v>
      </x:c>
      <x:c r="C9" s="13" t="str">
        <x:f>IF($B$6="有效",IF(AND($B$4&gt;=INDEX('怪物总表'!$E$6:$E$105,MATCH(A9,'怪物总表'!$A$6:$A$105,0)),$E$4&gt;=INDEX('怪物总表'!$F$6:$F$105,MATCH(A9,'怪物总表'!$A$6:$A$105,0))),"已达门槛","未达门槛"),"输入无效")</x:f>
        <x:v>已达门槛</x:v>
      </x:c>
      <x:c r="D9" s="13" t="str">
        <x:f>INDEX('怪物总表'!$C$6:$C$105,MATCH(A9,'怪物总表'!$A$6:$A$105,0))</x:f>
        <x:v>普通</x:v>
      </x:c>
      <x:c r="E9" s="22" t="n">
        <x:f>IF($B$6="有效",ROUND(INDEX('怪物总表'!$G$6:$G$105,MATCH(A9,'怪物总表'!$A$6:$A$105,0))*$B$5*$H$5*IF(D9="精英",$B$125,1),0),"输入无效")</x:f>
        <x:v>45</x:v>
      </x:c>
      <x:c r="F9" s="22" t="n">
        <x:f>IF($B$6="有效",ROUND(INDEX('怪物总表'!$H$6:$H$105,MATCH(A9,'怪物总表'!$A$6:$A$105,0))*$E$5*$K$5*IF(D9="精英",$B$126,1),0),"输入无效")</x:f>
        <x:v>6</x:v>
      </x:c>
      <x:c r="G9" s="22" t="n">
        <x:f>IF($B$6="有效",ROUND(F9*INDEX('怪物总表'!$K$6:$K$105,MATCH(A9,'怪物总表'!$A$6:$A$105,0)),0),"输入无效")</x:f>
        <x:v>6</x:v>
      </x:c>
      <x:c r="H9" s="22" t="n">
        <x:f>IF($B$6="有效",ROUND(INDEX('怪物总表'!$I$6:$I$105,MATCH(A9,'怪物总表'!$A$6:$A$105,0))*$B$5,0),"输入无效")</x:f>
        <x:v>0</x:v>
      </x:c>
      <x:c r="I9" s="22" t="n">
        <x:f>IF($B$6="有效",ROUND(INDEX('怪物总表'!$J$6:$J$105,MATCH(A9,'怪物总表'!$A$6:$A$105,0))*$B$5,0),"输入无效")</x:f>
        <x:v>0</x:v>
      </x:c>
      <x:c r="J9" s="26" t="n">
        <x:f>INDEX('怪物总表'!$L$6:$L$105,MATCH(A9,'怪物总表'!$A$6:$A$105,0))*IF(D9="精英",$B$127,1)</x:f>
        <x:v>2</x:v>
      </x:c>
      <x:c r="K9" s="22" t="n">
        <x:f>1+INDEX('怪物总表'!$M$6:$M$105,MATCH(A9,'怪物总表'!$A$6:$A$105,0))</x:f>
        <x:v>1</x:v>
      </x:c>
      <x:c r="L9" s="22" t="n">
        <x:f>ROUND(INDEX('怪物总表'!$G$6:$G$105,MATCH(A9,'怪物总表'!$A$6:$A$105,0))*IF(INDEX('怪物总表'!$E$6:$E$105,MATCH(A9,'怪物总表'!$A$6:$A$105,0))=1,$B$128,$B$120*POWER($B$123,(INDEX('怪物总表'!$E$6:$E$105,MATCH(A9,'怪物总表'!$A$6:$A$105,0))-2)/$B$122))*IF(D9="精英",$B$125,1),0)</x:f>
        <x:v>45</x:v>
      </x:c>
    </x:row>
    <x:row r="10" ht="31.5" customHeight="1">
      <x:c r="A10" s="16" t="str">
        <x:v>MON_N002</x:v>
      </x:c>
      <x:c r="B10" s="16" t="str">
        <x:f>INDEX('怪物总表'!$B$6:$B$105,MATCH(A10,'怪物总表'!$A$6:$A$105,0))</x:f>
        <x:v>退距血蛆</x:v>
      </x:c>
      <x:c r="C10" s="16" t="str">
        <x:f>IF($B$6="有效",IF(AND($B$4&gt;=INDEX('怪物总表'!$E$6:$E$105,MATCH(A10,'怪物总表'!$A$6:$A$105,0)),$E$4&gt;=INDEX('怪物总表'!$F$6:$F$105,MATCH(A10,'怪物总表'!$A$6:$A$105,0))),"已达门槛","未达门槛"),"输入无效")</x:f>
        <x:v>已达门槛</x:v>
      </x:c>
      <x:c r="D10" s="16" t="str">
        <x:f>INDEX('怪物总表'!$C$6:$C$105,MATCH(A10,'怪物总表'!$A$6:$A$105,0))</x:f>
        <x:v>普通</x:v>
      </x:c>
      <x:c r="E10" s="23" t="n">
        <x:f>IF($B$6="有效",ROUND(INDEX('怪物总表'!$G$6:$G$105,MATCH(A10,'怪物总表'!$A$6:$A$105,0))*$B$5*$H$5*IF(D10="精英",$B$125,1),0),"输入无效")</x:f>
        <x:v>30</x:v>
      </x:c>
      <x:c r="F10" s="23" t="n">
        <x:f>IF($B$6="有效",ROUND(INDEX('怪物总表'!$H$6:$H$105,MATCH(A10,'怪物总表'!$A$6:$A$105,0))*$E$5*$K$5*IF(D10="精英",$B$126,1),0),"输入无效")</x:f>
        <x:v>5</x:v>
      </x:c>
      <x:c r="G10" s="23" t="n">
        <x:f>IF($B$6="有效",ROUND(F10*INDEX('怪物总表'!$K$6:$K$105,MATCH(A10,'怪物总表'!$A$6:$A$105,0)),0),"输入无效")</x:f>
        <x:v>5</x:v>
      </x:c>
      <x:c r="H10" s="23" t="n">
        <x:f>IF($B$6="有效",ROUND(INDEX('怪物总表'!$I$6:$I$105,MATCH(A10,'怪物总表'!$A$6:$A$105,0))*$B$5,0),"输入无效")</x:f>
        <x:v>0</x:v>
      </x:c>
      <x:c r="I10" s="23" t="n">
        <x:f>IF($B$6="有效",ROUND(INDEX('怪物总表'!$J$6:$J$105,MATCH(A10,'怪物总表'!$A$6:$A$105,0))*$B$5,0),"输入无效")</x:f>
        <x:v>0</x:v>
      </x:c>
      <x:c r="J10" s="27" t="n">
        <x:f>INDEX('怪物总表'!$L$6:$L$105,MATCH(A10,'怪物总表'!$A$6:$A$105,0))*IF(D10="精英",$B$127,1)</x:f>
        <x:v>1.5</x:v>
      </x:c>
      <x:c r="K10" s="23" t="n">
        <x:f>1+INDEX('怪物总表'!$M$6:$M$105,MATCH(A10,'怪物总表'!$A$6:$A$105,0))</x:f>
        <x:v>1</x:v>
      </x:c>
      <x:c r="L10" s="23" t="n">
        <x:f>ROUND(INDEX('怪物总表'!$G$6:$G$105,MATCH(A10,'怪物总表'!$A$6:$A$105,0))*IF(INDEX('怪物总表'!$E$6:$E$105,MATCH(A10,'怪物总表'!$A$6:$A$105,0))=1,$B$128,$B$120*POWER($B$123,(INDEX('怪物总表'!$E$6:$E$105,MATCH(A10,'怪物总表'!$A$6:$A$105,0))-2)/$B$122))*IF(D10="精英",$B$125,1),0)</x:f>
        <x:v>30</x:v>
      </x:c>
    </x:row>
    <x:row r="11" ht="31.5" customHeight="1">
      <x:c r="A11" s="14" t="str">
        <x:v>MON_N003</x:v>
      </x:c>
      <x:c r="B11" s="14" t="str">
        <x:f>INDEX('怪物总表'!$B$6:$B$105,MATCH(A11,'怪物总表'!$A$6:$A$105,0))</x:f>
        <x:v>游弧猎卒</x:v>
      </x:c>
      <x:c r="C11" s="14" t="str">
        <x:f>IF($B$6="有效",IF(AND($B$4&gt;=INDEX('怪物总表'!$E$6:$E$105,MATCH(A11,'怪物总表'!$A$6:$A$105,0)),$E$4&gt;=INDEX('怪物总表'!$F$6:$F$105,MATCH(A11,'怪物总表'!$A$6:$A$105,0))),"已达门槛","未达门槛"),"输入无效")</x:f>
        <x:v>未达门槛</x:v>
      </x:c>
      <x:c r="D11" s="14" t="str">
        <x:f>INDEX('怪物总表'!$C$6:$C$105,MATCH(A11,'怪物总表'!$A$6:$A$105,0))</x:f>
        <x:v>普通</x:v>
      </x:c>
      <x:c r="E11" s="24" t="n">
        <x:f>IF($B$6="有效",ROUND(INDEX('怪物总表'!$G$6:$G$105,MATCH(A11,'怪物总表'!$A$6:$A$105,0))*$B$5*$H$5*IF(D11="精英",$B$125,1),0),"输入无效")</x:f>
        <x:v>42</x:v>
      </x:c>
      <x:c r="F11" s="24" t="n">
        <x:f>IF($B$6="有效",ROUND(INDEX('怪物总表'!$H$6:$H$105,MATCH(A11,'怪物总表'!$A$6:$A$105,0))*$E$5*$K$5*IF(D11="精英",$B$126,1),0),"输入无效")</x:f>
        <x:v>6</x:v>
      </x:c>
      <x:c r="G11" s="24" t="n">
        <x:f>IF($B$6="有效",ROUND(F11*INDEX('怪物总表'!$K$6:$K$105,MATCH(A11,'怪物总表'!$A$6:$A$105,0)),0),"输入无效")</x:f>
        <x:v>6</x:v>
      </x:c>
      <x:c r="H11" s="24" t="n">
        <x:f>IF($B$6="有效",ROUND(INDEX('怪物总表'!$I$6:$I$105,MATCH(A11,'怪物总表'!$A$6:$A$105,0))*$B$5,0),"输入无效")</x:f>
        <x:v>0</x:v>
      </x:c>
      <x:c r="I11" s="24" t="n">
        <x:f>IF($B$6="有效",ROUND(INDEX('怪物总表'!$J$6:$J$105,MATCH(A11,'怪物总表'!$A$6:$A$105,0))*$B$5,0),"输入无效")</x:f>
        <x:v>0</x:v>
      </x:c>
      <x:c r="J11" s="28" t="n">
        <x:f>INDEX('怪物总表'!$L$6:$L$105,MATCH(A11,'怪物总表'!$A$6:$A$105,0))*IF(D11="精英",$B$127,1)</x:f>
        <x:v>2.5</x:v>
      </x:c>
      <x:c r="K11" s="24" t="n">
        <x:f>1+INDEX('怪物总表'!$M$6:$M$105,MATCH(A11,'怪物总表'!$A$6:$A$105,0))</x:f>
        <x:v>1</x:v>
      </x:c>
      <x:c r="L11" s="24" t="n">
        <x:f>ROUND(INDEX('怪物总表'!$G$6:$G$105,MATCH(A11,'怪物总表'!$A$6:$A$105,0))*IF(INDEX('怪物总表'!$E$6:$E$105,MATCH(A11,'怪物总表'!$A$6:$A$105,0))=1,$B$128,$B$120*POWER($B$123,(INDEX('怪物总表'!$E$6:$E$105,MATCH(A11,'怪物总表'!$A$6:$A$105,0))-2)/$B$122))*IF(D11="精英",$B$125,1),0)</x:f>
        <x:v>70</x:v>
      </x:c>
    </x:row>
    <x:row r="12" ht="31.5" customHeight="1">
      <x:c r="A12" s="16" t="str">
        <x:v>MON_N004</x:v>
      </x:c>
      <x:c r="B12" s="16" t="str">
        <x:f>INDEX('怪物总表'!$B$6:$B$105,MATCH(A12,'怪物总表'!$A$6:$A$105,0))</x:f>
        <x:v>回身钳客</x:v>
      </x:c>
      <x:c r="C12" s="16" t="str">
        <x:f>IF($B$6="有效",IF(AND($B$4&gt;=INDEX('怪物总表'!$E$6:$E$105,MATCH(A12,'怪物总表'!$A$6:$A$105,0)),$E$4&gt;=INDEX('怪物总表'!$F$6:$F$105,MATCH(A12,'怪物总表'!$A$6:$A$105,0))),"已达门槛","未达门槛"),"输入无效")</x:f>
        <x:v>未达门槛</x:v>
      </x:c>
      <x:c r="D12" s="16" t="str">
        <x:f>INDEX('怪物总表'!$C$6:$C$105,MATCH(A12,'怪物总表'!$A$6:$A$105,0))</x:f>
        <x:v>普通</x:v>
      </x:c>
      <x:c r="E12" s="23" t="n">
        <x:f>IF($B$6="有效",ROUND(INDEX('怪物总表'!$G$6:$G$105,MATCH(A12,'怪物总表'!$A$6:$A$105,0))*$B$5*$H$5*IF(D12="精英",$B$125,1),0),"输入无效")</x:f>
        <x:v>55</x:v>
      </x:c>
      <x:c r="F12" s="23" t="n">
        <x:f>IF($B$6="有效",ROUND(INDEX('怪物总表'!$H$6:$H$105,MATCH(A12,'怪物总表'!$A$6:$A$105,0))*$E$5*$K$5*IF(D12="精英",$B$126,1),0),"输入无效")</x:f>
        <x:v>7</x:v>
      </x:c>
      <x:c r="G12" s="23" t="n">
        <x:f>IF($B$6="有效",ROUND(F12*INDEX('怪物总表'!$K$6:$K$105,MATCH(A12,'怪物总表'!$A$6:$A$105,0)),0),"输入无效")</x:f>
        <x:v>7</x:v>
      </x:c>
      <x:c r="H12" s="23" t="n">
        <x:f>IF($B$6="有效",ROUND(INDEX('怪物总表'!$I$6:$I$105,MATCH(A12,'怪物总表'!$A$6:$A$105,0))*$B$5,0),"输入无效")</x:f>
        <x:v>0</x:v>
      </x:c>
      <x:c r="I12" s="23" t="n">
        <x:f>IF($B$6="有效",ROUND(INDEX('怪物总表'!$J$6:$J$105,MATCH(A12,'怪物总表'!$A$6:$A$105,0))*$B$5,0),"输入无效")</x:f>
        <x:v>0</x:v>
      </x:c>
      <x:c r="J12" s="27" t="n">
        <x:f>INDEX('怪物总表'!$L$6:$L$105,MATCH(A12,'怪物总表'!$A$6:$A$105,0))*IF(D12="精英",$B$127,1)</x:f>
        <x:v>2.5</x:v>
      </x:c>
      <x:c r="K12" s="23" t="n">
        <x:f>1+INDEX('怪物总表'!$M$6:$M$105,MATCH(A12,'怪物总表'!$A$6:$A$105,0))</x:f>
        <x:v>1</x:v>
      </x:c>
      <x:c r="L12" s="23" t="n">
        <x:f>ROUND(INDEX('怪物总表'!$G$6:$G$105,MATCH(A12,'怪物总表'!$A$6:$A$105,0))*IF(INDEX('怪物总表'!$E$6:$E$105,MATCH(A12,'怪物总表'!$A$6:$A$105,0))=1,$B$128,$B$120*POWER($B$123,(INDEX('怪物总表'!$E$6:$E$105,MATCH(A12,'怪物总表'!$A$6:$A$105,0))-2)/$B$122))*IF(D12="精英",$B$125,1),0)</x:f>
        <x:v>103</x:v>
      </x:c>
    </x:row>
    <x:row r="13" ht="31.5" customHeight="1">
      <x:c r="A13" s="14" t="str">
        <x:v>MON_N005</x:v>
      </x:c>
      <x:c r="B13" s="14" t="str">
        <x:f>INDEX('怪物总表'!$B$6:$B$105,MATCH(A13,'怪物总表'!$A$6:$A$105,0))</x:f>
        <x:v>直冲蛮牛</x:v>
      </x:c>
      <x:c r="C13" s="14" t="str">
        <x:f>IF($B$6="有效",IF(AND($B$4&gt;=INDEX('怪物总表'!$E$6:$E$105,MATCH(A13,'怪物总表'!$A$6:$A$105,0)),$E$4&gt;=INDEX('怪物总表'!$F$6:$F$105,MATCH(A13,'怪物总表'!$A$6:$A$105,0))),"已达门槛","未达门槛"),"输入无效")</x:f>
        <x:v>未达门槛</x:v>
      </x:c>
      <x:c r="D13" s="14" t="str">
        <x:f>INDEX('怪物总表'!$C$6:$C$105,MATCH(A13,'怪物总表'!$A$6:$A$105,0))</x:f>
        <x:v>普通</x:v>
      </x:c>
      <x:c r="E13" s="24" t="n">
        <x:f>IF($B$6="有效",ROUND(INDEX('怪物总表'!$G$6:$G$105,MATCH(A13,'怪物总表'!$A$6:$A$105,0))*$B$5*$H$5*IF(D13="精英",$B$125,1),0),"输入无效")</x:f>
        <x:v>55</x:v>
      </x:c>
      <x:c r="F13" s="24" t="n">
        <x:f>IF($B$6="有效",ROUND(INDEX('怪物总表'!$H$6:$H$105,MATCH(A13,'怪物总表'!$A$6:$A$105,0))*$E$5*$K$5*IF(D13="精英",$B$126,1),0),"输入无效")</x:f>
        <x:v>7</x:v>
      </x:c>
      <x:c r="G13" s="24" t="n">
        <x:f>IF($B$6="有效",ROUND(F13*INDEX('怪物总表'!$K$6:$K$105,MATCH(A13,'怪物总表'!$A$6:$A$105,0)),0),"输入无效")</x:f>
        <x:v>7</x:v>
      </x:c>
      <x:c r="H13" s="24" t="n">
        <x:f>IF($B$6="有效",ROUND(INDEX('怪物总表'!$I$6:$I$105,MATCH(A13,'怪物总表'!$A$6:$A$105,0))*$B$5,0),"输入无效")</x:f>
        <x:v>0</x:v>
      </x:c>
      <x:c r="I13" s="24" t="n">
        <x:f>IF($B$6="有效",ROUND(INDEX('怪物总表'!$J$6:$J$105,MATCH(A13,'怪物总表'!$A$6:$A$105,0))*$B$5,0),"输入无效")</x:f>
        <x:v>0</x:v>
      </x:c>
      <x:c r="J13" s="28" t="n">
        <x:f>INDEX('怪物总表'!$L$6:$L$105,MATCH(A13,'怪物总表'!$A$6:$A$105,0))*IF(D13="精英",$B$127,1)</x:f>
        <x:v>2.5</x:v>
      </x:c>
      <x:c r="K13" s="24" t="n">
        <x:f>1+INDEX('怪物总表'!$M$6:$M$105,MATCH(A13,'怪物总表'!$A$6:$A$105,0))</x:f>
        <x:v>1</x:v>
      </x:c>
      <x:c r="L13" s="24" t="n">
        <x:f>ROUND(INDEX('怪物总表'!$G$6:$G$105,MATCH(A13,'怪物总表'!$A$6:$A$105,0))*IF(INDEX('怪物总表'!$E$6:$E$105,MATCH(A13,'怪物总表'!$A$6:$A$105,0))=1,$B$128,$B$120*POWER($B$123,(INDEX('怪物总表'!$E$6:$E$105,MATCH(A13,'怪物总表'!$A$6:$A$105,0))-2)/$B$122))*IF(D13="精英",$B$125,1),0)</x:f>
        <x:v>80</x:v>
      </x:c>
    </x:row>
    <x:row r="14" ht="31.5" customHeight="1">
      <x:c r="A14" s="16" t="str">
        <x:v>MON_N006</x:v>
      </x:c>
      <x:c r="B14" s="16" t="str">
        <x:f>INDEX('怪物总表'!$B$6:$B$105,MATCH(A14,'怪物总表'!$A$6:$A$105,0))</x:f>
        <x:v>横轨冲兽</x:v>
      </x:c>
      <x:c r="C14" s="16" t="str">
        <x:f>IF($B$6="有效",IF(AND($B$4&gt;=INDEX('怪物总表'!$E$6:$E$105,MATCH(A14,'怪物总表'!$A$6:$A$105,0)),$E$4&gt;=INDEX('怪物总表'!$F$6:$F$105,MATCH(A14,'怪物总表'!$A$6:$A$105,0))),"已达门槛","未达门槛"),"输入无效")</x:f>
        <x:v>未达门槛</x:v>
      </x:c>
      <x:c r="D14" s="16" t="str">
        <x:f>INDEX('怪物总表'!$C$6:$C$105,MATCH(A14,'怪物总表'!$A$6:$A$105,0))</x:f>
        <x:v>普通</x:v>
      </x:c>
      <x:c r="E14" s="23" t="n">
        <x:f>IF($B$6="有效",ROUND(INDEX('怪物总表'!$G$6:$G$105,MATCH(A14,'怪物总表'!$A$6:$A$105,0))*$B$5*$H$5*IF(D14="精英",$B$125,1),0),"输入无效")</x:f>
        <x:v>45</x:v>
      </x:c>
      <x:c r="F14" s="23" t="n">
        <x:f>IF($B$6="有效",ROUND(INDEX('怪物总表'!$H$6:$H$105,MATCH(A14,'怪物总表'!$A$6:$A$105,0))*$E$5*$K$5*IF(D14="精英",$B$126,1),0),"输入无效")</x:f>
        <x:v>8</x:v>
      </x:c>
      <x:c r="G14" s="23" t="n">
        <x:f>IF($B$6="有效",ROUND(F14*INDEX('怪物总表'!$K$6:$K$105,MATCH(A14,'怪物总表'!$A$6:$A$105,0)),0),"输入无效")</x:f>
        <x:v>8</x:v>
      </x:c>
      <x:c r="H14" s="23" t="n">
        <x:f>IF($B$6="有效",ROUND(INDEX('怪物总表'!$I$6:$I$105,MATCH(A14,'怪物总表'!$A$6:$A$105,0))*$B$5,0),"输入无效")</x:f>
        <x:v>0</x:v>
      </x:c>
      <x:c r="I14" s="23" t="n">
        <x:f>IF($B$6="有效",ROUND(INDEX('怪物总表'!$J$6:$J$105,MATCH(A14,'怪物总表'!$A$6:$A$105,0))*$B$5,0),"输入无效")</x:f>
        <x:v>0</x:v>
      </x:c>
      <x:c r="J14" s="27" t="n">
        <x:f>INDEX('怪物总表'!$L$6:$L$105,MATCH(A14,'怪物总表'!$A$6:$A$105,0))*IF(D14="精英",$B$127,1)</x:f>
        <x:v>2.5</x:v>
      </x:c>
      <x:c r="K14" s="23" t="n">
        <x:f>1+INDEX('怪物总表'!$M$6:$M$105,MATCH(A14,'怪物总表'!$A$6:$A$105,0))</x:f>
        <x:v>1</x:v>
      </x:c>
      <x:c r="L14" s="23" t="n">
        <x:f>ROUND(INDEX('怪物总表'!$G$6:$G$105,MATCH(A14,'怪物总表'!$A$6:$A$105,0))*IF(INDEX('怪物总表'!$E$6:$E$105,MATCH(A14,'怪物总表'!$A$6:$A$105,0))=1,$B$128,$B$120*POWER($B$123,(INDEX('怪物总表'!$E$6:$E$105,MATCH(A14,'怪物总表'!$A$6:$A$105,0))-2)/$B$122))*IF(D14="精英",$B$125,1),0)</x:f>
        <x:v>70</x:v>
      </x:c>
    </x:row>
    <x:row r="15" ht="31.5" customHeight="1">
      <x:c r="A15" s="14" t="str">
        <x:v>MON_N007</x:v>
      </x:c>
      <x:c r="B15" s="14" t="str">
        <x:f>INDEX('怪物总表'!$B$6:$B$105,MATCH(A15,'怪物总表'!$A$6:$A$105,0))</x:f>
        <x:v>折角奔徒</x:v>
      </x:c>
      <x:c r="C15" s="14" t="str">
        <x:f>IF($B$6="有效",IF(AND($B$4&gt;=INDEX('怪物总表'!$E$6:$E$105,MATCH(A15,'怪物总表'!$A$6:$A$105,0)),$E$4&gt;=INDEX('怪物总表'!$F$6:$F$105,MATCH(A15,'怪物总表'!$A$6:$A$105,0))),"已达门槛","未达门槛"),"输入无效")</x:f>
        <x:v>未达门槛</x:v>
      </x:c>
      <x:c r="D15" s="14" t="str">
        <x:f>INDEX('怪物总表'!$C$6:$C$105,MATCH(A15,'怪物总表'!$A$6:$A$105,0))</x:f>
        <x:v>普通</x:v>
      </x:c>
      <x:c r="E15" s="24" t="n">
        <x:f>IF($B$6="有效",ROUND(INDEX('怪物总表'!$G$6:$G$105,MATCH(A15,'怪物总表'!$A$6:$A$105,0))*$B$5*$H$5*IF(D15="精英",$B$125,1),0),"输入无效")</x:f>
        <x:v>50</x:v>
      </x:c>
      <x:c r="F15" s="24" t="n">
        <x:f>IF($B$6="有效",ROUND(INDEX('怪物总表'!$H$6:$H$105,MATCH(A15,'怪物总表'!$A$6:$A$105,0))*$E$5*$K$5*IF(D15="精英",$B$126,1),0),"输入无效")</x:f>
        <x:v>7</x:v>
      </x:c>
      <x:c r="G15" s="24" t="n">
        <x:f>IF($B$6="有效",ROUND(F15*INDEX('怪物总表'!$K$6:$K$105,MATCH(A15,'怪物总表'!$A$6:$A$105,0)),0),"输入无效")</x:f>
        <x:v>7</x:v>
      </x:c>
      <x:c r="H15" s="24" t="n">
        <x:f>IF($B$6="有效",ROUND(INDEX('怪物总表'!$I$6:$I$105,MATCH(A15,'怪物总表'!$A$6:$A$105,0))*$B$5,0),"输入无效")</x:f>
        <x:v>0</x:v>
      </x:c>
      <x:c r="I15" s="24" t="n">
        <x:f>IF($B$6="有效",ROUND(INDEX('怪物总表'!$J$6:$J$105,MATCH(A15,'怪物总表'!$A$6:$A$105,0))*$B$5,0),"输入无效")</x:f>
        <x:v>0</x:v>
      </x:c>
      <x:c r="J15" s="28" t="n">
        <x:f>INDEX('怪物总表'!$L$6:$L$105,MATCH(A15,'怪物总表'!$A$6:$A$105,0))*IF(D15="精英",$B$127,1)</x:f>
        <x:v>3.5</x:v>
      </x:c>
      <x:c r="K15" s="24" t="n">
        <x:f>1+INDEX('怪物总表'!$M$6:$M$105,MATCH(A15,'怪物总表'!$A$6:$A$105,0))</x:f>
        <x:v>1</x:v>
      </x:c>
      <x:c r="L15" s="24" t="n">
        <x:f>ROUND(INDEX('怪物总表'!$G$6:$G$105,MATCH(A15,'怪物总表'!$A$6:$A$105,0))*IF(INDEX('怪物总表'!$E$6:$E$105,MATCH(A15,'怪物总表'!$A$6:$A$105,0))=1,$B$128,$B$120*POWER($B$123,(INDEX('怪物总表'!$E$6:$E$105,MATCH(A15,'怪物总表'!$A$6:$A$105,0))-2)/$B$122))*IF(D15="精英",$B$125,1),0)</x:f>
        <x:v>87</x:v>
      </x:c>
    </x:row>
    <x:row r="16" ht="31.5" customHeight="1">
      <x:c r="A16" s="16" t="str">
        <x:v>MON_N008</x:v>
      </x:c>
      <x:c r="B16" s="16" t="str">
        <x:f>INDEX('怪物总表'!$B$6:$B$105,MATCH(A16,'怪物总表'!$A$6:$A$105,0))</x:f>
        <x:v>退潮冲鳌</x:v>
      </x:c>
      <x:c r="C16" s="16" t="str">
        <x:f>IF($B$6="有效",IF(AND($B$4&gt;=INDEX('怪物总表'!$E$6:$E$105,MATCH(A16,'怪物总表'!$A$6:$A$105,0)),$E$4&gt;=INDEX('怪物总表'!$F$6:$F$105,MATCH(A16,'怪物总表'!$A$6:$A$105,0))),"已达门槛","未达门槛"),"输入无效")</x:f>
        <x:v>未达门槛</x:v>
      </x:c>
      <x:c r="D16" s="16" t="str">
        <x:f>INDEX('怪物总表'!$C$6:$C$105,MATCH(A16,'怪物总表'!$A$6:$A$105,0))</x:f>
        <x:v>普通</x:v>
      </x:c>
      <x:c r="E16" s="23" t="n">
        <x:f>IF($B$6="有效",ROUND(INDEX('怪物总表'!$G$6:$G$105,MATCH(A16,'怪物总表'!$A$6:$A$105,0))*$B$5*$H$5*IF(D16="精英",$B$125,1),0),"输入无效")</x:f>
        <x:v>60</x:v>
      </x:c>
      <x:c r="F16" s="23" t="n">
        <x:f>IF($B$6="有效",ROUND(INDEX('怪物总表'!$H$6:$H$105,MATCH(A16,'怪物总表'!$A$6:$A$105,0))*$E$5*$K$5*IF(D16="精英",$B$126,1),0),"输入无效")</x:f>
        <x:v>7</x:v>
      </x:c>
      <x:c r="G16" s="23" t="n">
        <x:f>IF($B$6="有效",ROUND(F16*INDEX('怪物总表'!$K$6:$K$105,MATCH(A16,'怪物总表'!$A$6:$A$105,0)),0),"输入无效")</x:f>
        <x:v>7</x:v>
      </x:c>
      <x:c r="H16" s="23" t="n">
        <x:f>IF($B$6="有效",ROUND(INDEX('怪物总表'!$I$6:$I$105,MATCH(A16,'怪物总表'!$A$6:$A$105,0))*$B$5,0),"输入无效")</x:f>
        <x:v>0</x:v>
      </x:c>
      <x:c r="I16" s="23" t="n">
        <x:f>IF($B$6="有效",ROUND(INDEX('怪物总表'!$J$6:$J$105,MATCH(A16,'怪物总表'!$A$6:$A$105,0))*$B$5,0),"输入无效")</x:f>
        <x:v>0</x:v>
      </x:c>
      <x:c r="J16" s="27" t="n">
        <x:f>INDEX('怪物总表'!$L$6:$L$105,MATCH(A16,'怪物总表'!$A$6:$A$105,0))*IF(D16="精英",$B$127,1)</x:f>
        <x:v>3</x:v>
      </x:c>
      <x:c r="K16" s="23" t="n">
        <x:f>1+INDEX('怪物总表'!$M$6:$M$105,MATCH(A16,'怪物总表'!$A$6:$A$105,0))</x:f>
        <x:v>1</x:v>
      </x:c>
      <x:c r="L16" s="23" t="n">
        <x:f>ROUND(INDEX('怪物总表'!$G$6:$G$105,MATCH(A16,'怪物总表'!$A$6:$A$105,0))*IF(INDEX('怪物总表'!$E$6:$E$105,MATCH(A16,'怪物总表'!$A$6:$A$105,0))=1,$B$128,$B$120*POWER($B$123,(INDEX('怪物总表'!$E$6:$E$105,MATCH(A16,'怪物总表'!$A$6:$A$105,0))-2)/$B$122))*IF(D16="精英",$B$125,1),0)</x:f>
        <x:v>116</x:v>
      </x:c>
    </x:row>
    <x:row r="17" ht="31.5" customHeight="1">
      <x:c r="A17" s="14" t="str">
        <x:v>MON_N009</x:v>
      </x:c>
      <x:c r="B17" s="14" t="str">
        <x:f>INDEX('怪物总表'!$B$6:$B$105,MATCH(A17,'怪物总表'!$A$6:$A$105,0))</x:f>
        <x:v>定锤尸</x:v>
      </x:c>
      <x:c r="C17" s="14" t="str">
        <x:f>IF($B$6="有效",IF(AND($B$4&gt;=INDEX('怪物总表'!$E$6:$E$105,MATCH(A17,'怪物总表'!$A$6:$A$105,0)),$E$4&gt;=INDEX('怪物总表'!$F$6:$F$105,MATCH(A17,'怪物总表'!$A$6:$A$105,0))),"已达门槛","未达门槛"),"输入无效")</x:f>
        <x:v>未达门槛</x:v>
      </x:c>
      <x:c r="D17" s="14" t="str">
        <x:f>INDEX('怪物总表'!$C$6:$C$105,MATCH(A17,'怪物总表'!$A$6:$A$105,0))</x:f>
        <x:v>普通</x:v>
      </x:c>
      <x:c r="E17" s="24" t="n">
        <x:f>IF($B$6="有效",ROUND(INDEX('怪物总表'!$G$6:$G$105,MATCH(A17,'怪物总表'!$A$6:$A$105,0))*$B$5*$H$5*IF(D17="精英",$B$125,1),0),"输入无效")</x:f>
        <x:v>80</x:v>
      </x:c>
      <x:c r="F17" s="24" t="n">
        <x:f>IF($B$6="有效",ROUND(INDEX('怪物总表'!$H$6:$H$105,MATCH(A17,'怪物总表'!$A$6:$A$105,0))*$E$5*$K$5*IF(D17="精英",$B$126,1),0),"输入无效")</x:f>
        <x:v>9</x:v>
      </x:c>
      <x:c r="G17" s="24" t="n">
        <x:f>IF($B$6="有效",ROUND(F17*INDEX('怪物总表'!$K$6:$K$105,MATCH(A17,'怪物总表'!$A$6:$A$105,0)),0),"输入无效")</x:f>
        <x:v>14</x:v>
      </x:c>
      <x:c r="H17" s="24" t="n">
        <x:f>IF($B$6="有效",ROUND(INDEX('怪物总表'!$I$6:$I$105,MATCH(A17,'怪物总表'!$A$6:$A$105,0))*$B$5,0),"输入无效")</x:f>
        <x:v>0</x:v>
      </x:c>
      <x:c r="I17" s="24" t="n">
        <x:f>IF($B$6="有效",ROUND(INDEX('怪物总表'!$J$6:$J$105,MATCH(A17,'怪物总表'!$A$6:$A$105,0))*$B$5,0),"输入无效")</x:f>
        <x:v>0</x:v>
      </x:c>
      <x:c r="J17" s="28" t="n">
        <x:f>INDEX('怪物总表'!$L$6:$L$105,MATCH(A17,'怪物总表'!$A$6:$A$105,0))*IF(D17="精英",$B$127,1)</x:f>
        <x:v>3.5</x:v>
      </x:c>
      <x:c r="K17" s="24" t="n">
        <x:f>1+INDEX('怪物总表'!$M$6:$M$105,MATCH(A17,'怪物总表'!$A$6:$A$105,0))</x:f>
        <x:v>1</x:v>
      </x:c>
      <x:c r="L17" s="24" t="n">
        <x:f>ROUND(INDEX('怪物总表'!$G$6:$G$105,MATCH(A17,'怪物总表'!$A$6:$A$105,0))*IF(INDEX('怪物总表'!$E$6:$E$105,MATCH(A17,'怪物总表'!$A$6:$A$105,0))=1,$B$128,$B$120*POWER($B$123,(INDEX('怪物总表'!$E$6:$E$105,MATCH(A17,'怪物总表'!$A$6:$A$105,0))-2)/$B$122))*IF(D17="精英",$B$125,1),0)</x:f>
        <x:v>120</x:v>
      </x:c>
    </x:row>
    <x:row r="18" ht="31.5" customHeight="1">
      <x:c r="A18" s="16" t="str">
        <x:v>MON_N010</x:v>
      </x:c>
      <x:c r="B18" s="16" t="str">
        <x:f>INDEX('怪物总表'!$B$6:$B$105,MATCH(A18,'怪物总表'!$A$6:$A$105,0))</x:f>
        <x:v>前劈石卫</x:v>
      </x:c>
      <x:c r="C18" s="16" t="str">
        <x:f>IF($B$6="有效",IF(AND($B$4&gt;=INDEX('怪物总表'!$E$6:$E$105,MATCH(A18,'怪物总表'!$A$6:$A$105,0)),$E$4&gt;=INDEX('怪物总表'!$F$6:$F$105,MATCH(A18,'怪物总表'!$A$6:$A$105,0))),"已达门槛","未达门槛"),"输入无效")</x:f>
        <x:v>未达门槛</x:v>
      </x:c>
      <x:c r="D18" s="16" t="str">
        <x:f>INDEX('怪物总表'!$C$6:$C$105,MATCH(A18,'怪物总表'!$A$6:$A$105,0))</x:f>
        <x:v>普通</x:v>
      </x:c>
      <x:c r="E18" s="23" t="n">
        <x:f>IF($B$6="有效",ROUND(INDEX('怪物总表'!$G$6:$G$105,MATCH(A18,'怪物总表'!$A$6:$A$105,0))*$B$5*$H$5*IF(D18="精英",$B$125,1),0),"输入无效")</x:f>
        <x:v>70</x:v>
      </x:c>
      <x:c r="F18" s="23" t="n">
        <x:f>IF($B$6="有效",ROUND(INDEX('怪物总表'!$H$6:$H$105,MATCH(A18,'怪物总表'!$A$6:$A$105,0))*$E$5*$K$5*IF(D18="精英",$B$126,1),0),"输入无效")</x:f>
        <x:v>10</x:v>
      </x:c>
      <x:c r="G18" s="23" t="n">
        <x:f>IF($B$6="有效",ROUND(F18*INDEX('怪物总表'!$K$6:$K$105,MATCH(A18,'怪物总表'!$A$6:$A$105,0)),0),"输入无效")</x:f>
        <x:v>16</x:v>
      </x:c>
      <x:c r="H18" s="23" t="n">
        <x:f>IF($B$6="有效",ROUND(INDEX('怪物总表'!$I$6:$I$105,MATCH(A18,'怪物总表'!$A$6:$A$105,0))*$B$5,0),"输入无效")</x:f>
        <x:v>0</x:v>
      </x:c>
      <x:c r="I18" s="23" t="n">
        <x:f>IF($B$6="有效",ROUND(INDEX('怪物总表'!$J$6:$J$105,MATCH(A18,'怪物总表'!$A$6:$A$105,0))*$B$5,0),"输入无效")</x:f>
        <x:v>0</x:v>
      </x:c>
      <x:c r="J18" s="27" t="n">
        <x:f>INDEX('怪物总表'!$L$6:$L$105,MATCH(A18,'怪物总表'!$A$6:$A$105,0))*IF(D18="精英",$B$127,1)</x:f>
        <x:v>3.5</x:v>
      </x:c>
      <x:c r="K18" s="23" t="n">
        <x:f>1+INDEX('怪物总表'!$M$6:$M$105,MATCH(A18,'怪物总表'!$A$6:$A$105,0))</x:f>
        <x:v>1</x:v>
      </x:c>
      <x:c r="L18" s="23" t="n">
        <x:f>ROUND(INDEX('怪物总表'!$G$6:$G$105,MATCH(A18,'怪物总表'!$A$6:$A$105,0))*IF(INDEX('怪物总表'!$E$6:$E$105,MATCH(A18,'怪物总表'!$A$6:$A$105,0))=1,$B$128,$B$120*POWER($B$123,(INDEX('怪物总表'!$E$6:$E$105,MATCH(A18,'怪物总表'!$A$6:$A$105,0))-2)/$B$122))*IF(D18="精英",$B$125,1),0)</x:f>
        <x:v>113</x:v>
      </x:c>
    </x:row>
    <x:row r="19" ht="31.5" customHeight="1">
      <x:c r="A19" s="14" t="str">
        <x:v>MON_N011</x:v>
      </x:c>
      <x:c r="B19" s="14" t="str">
        <x:f>INDEX('怪物总表'!$B$6:$B$105,MATCH(A19,'怪物总表'!$A$6:$A$105,0))</x:f>
        <x:v>十字碎骨者</x:v>
      </x:c>
      <x:c r="C19" s="14" t="str">
        <x:f>IF($B$6="有效",IF(AND($B$4&gt;=INDEX('怪物总表'!$E$6:$E$105,MATCH(A19,'怪物总表'!$A$6:$A$105,0)),$E$4&gt;=INDEX('怪物总表'!$F$6:$F$105,MATCH(A19,'怪物总表'!$A$6:$A$105,0))),"已达门槛","未达门槛"),"输入无效")</x:f>
        <x:v>未达门槛</x:v>
      </x:c>
      <x:c r="D19" s="14" t="str">
        <x:f>INDEX('怪物总表'!$C$6:$C$105,MATCH(A19,'怪物总表'!$A$6:$A$105,0))</x:f>
        <x:v>普通</x:v>
      </x:c>
      <x:c r="E19" s="24" t="n">
        <x:f>IF($B$6="有效",ROUND(INDEX('怪物总表'!$G$6:$G$105,MATCH(A19,'怪物总表'!$A$6:$A$105,0))*$B$5*$H$5*IF(D19="精英",$B$125,1),0),"输入无效")</x:f>
        <x:v>85</x:v>
      </x:c>
      <x:c r="F19" s="24" t="n">
        <x:f>IF($B$6="有效",ROUND(INDEX('怪物总表'!$H$6:$H$105,MATCH(A19,'怪物总表'!$A$6:$A$105,0))*$E$5*$K$5*IF(D19="精英",$B$126,1),0),"输入无效")</x:f>
        <x:v>8</x:v>
      </x:c>
      <x:c r="G19" s="24" t="n">
        <x:f>IF($B$6="有效",ROUND(F19*INDEX('怪物总表'!$K$6:$K$105,MATCH(A19,'怪物总表'!$A$6:$A$105,0)),0),"输入无效")</x:f>
        <x:v>11</x:v>
      </x:c>
      <x:c r="H19" s="24" t="n">
        <x:f>IF($B$6="有效",ROUND(INDEX('怪物总表'!$I$6:$I$105,MATCH(A19,'怪物总表'!$A$6:$A$105,0))*$B$5,0),"输入无效")</x:f>
        <x:v>0</x:v>
      </x:c>
      <x:c r="I19" s="24" t="n">
        <x:f>IF($B$6="有效",ROUND(INDEX('怪物总表'!$J$6:$J$105,MATCH(A19,'怪物总表'!$A$6:$A$105,0))*$B$5,0),"输入无效")</x:f>
        <x:v>0</x:v>
      </x:c>
      <x:c r="J19" s="28" t="n">
        <x:f>INDEX('怪物总表'!$L$6:$L$105,MATCH(A19,'怪物总表'!$A$6:$A$105,0))*IF(D19="精英",$B$127,1)</x:f>
        <x:v>4</x:v>
      </x:c>
      <x:c r="K19" s="24" t="n">
        <x:f>1+INDEX('怪物总表'!$M$6:$M$105,MATCH(A19,'怪物总表'!$A$6:$A$105,0))</x:f>
        <x:v>1</x:v>
      </x:c>
      <x:c r="L19" s="24" t="n">
        <x:f>ROUND(INDEX('怪物总表'!$G$6:$G$105,MATCH(A19,'怪物总表'!$A$6:$A$105,0))*IF(INDEX('怪物总表'!$E$6:$E$105,MATCH(A19,'怪物总表'!$A$6:$A$105,0))=1,$B$128,$B$120*POWER($B$123,(INDEX('怪物总表'!$E$6:$E$105,MATCH(A19,'怪物总表'!$A$6:$A$105,0))-2)/$B$122))*IF(D19="精英",$B$125,1),0)</x:f>
        <x:v>153</x:v>
      </x:c>
    </x:row>
    <x:row r="20" ht="31.5" customHeight="1">
      <x:c r="A20" s="16" t="str">
        <x:v>MON_N012</x:v>
      </x:c>
      <x:c r="B20" s="16" t="str">
        <x:f>INDEX('怪物总表'!$B$6:$B$105,MATCH(A20,'怪物总表'!$A$6:$A$105,0))</x:f>
        <x:v>双位重槌</x:v>
      </x:c>
      <x:c r="C20" s="16" t="str">
        <x:f>IF($B$6="有效",IF(AND($B$4&gt;=INDEX('怪物总表'!$E$6:$E$105,MATCH(A20,'怪物总表'!$A$6:$A$105,0)),$E$4&gt;=INDEX('怪物总表'!$F$6:$F$105,MATCH(A20,'怪物总表'!$A$6:$A$105,0))),"已达门槛","未达门槛"),"输入无效")</x:f>
        <x:v>未达门槛</x:v>
      </x:c>
      <x:c r="D20" s="16" t="str">
        <x:f>INDEX('怪物总表'!$C$6:$C$105,MATCH(A20,'怪物总表'!$A$6:$A$105,0))</x:f>
        <x:v>普通</x:v>
      </x:c>
      <x:c r="E20" s="23" t="n">
        <x:f>IF($B$6="有效",ROUND(INDEX('怪物总表'!$G$6:$G$105,MATCH(A20,'怪物总表'!$A$6:$A$105,0))*$B$5*$H$5*IF(D20="精英",$B$125,1),0),"输入无效")</x:f>
        <x:v>90</x:v>
      </x:c>
      <x:c r="F20" s="23" t="n">
        <x:f>IF($B$6="有效",ROUND(INDEX('怪物总表'!$H$6:$H$105,MATCH(A20,'怪物总表'!$A$6:$A$105,0))*$E$5*$K$5*IF(D20="精英",$B$126,1),0),"输入无效")</x:f>
        <x:v>9</x:v>
      </x:c>
      <x:c r="G20" s="23" t="n">
        <x:f>IF($B$6="有效",ROUND(F20*INDEX('怪物总表'!$K$6:$K$105,MATCH(A20,'怪物总表'!$A$6:$A$105,0)),0),"输入无效")</x:f>
        <x:v>11</x:v>
      </x:c>
      <x:c r="H20" s="23" t="n">
        <x:f>IF($B$6="有效",ROUND(INDEX('怪物总表'!$I$6:$I$105,MATCH(A20,'怪物总表'!$A$6:$A$105,0))*$B$5,0),"输入无效")</x:f>
        <x:v>0</x:v>
      </x:c>
      <x:c r="I20" s="23" t="n">
        <x:f>IF($B$6="有效",ROUND(INDEX('怪物总表'!$J$6:$J$105,MATCH(A20,'怪物总表'!$A$6:$A$105,0))*$B$5,0),"输入无效")</x:f>
        <x:v>0</x:v>
      </x:c>
      <x:c r="J20" s="27" t="n">
        <x:f>INDEX('怪物总表'!$L$6:$L$105,MATCH(A20,'怪物总表'!$A$6:$A$105,0))*IF(D20="精英",$B$127,1)</x:f>
        <x:v>4.5</x:v>
      </x:c>
      <x:c r="K20" s="23" t="n">
        <x:f>1+INDEX('怪物总表'!$M$6:$M$105,MATCH(A20,'怪物总表'!$A$6:$A$105,0))</x:f>
        <x:v>1</x:v>
      </x:c>
      <x:c r="L20" s="23" t="n">
        <x:f>ROUND(INDEX('怪物总表'!$G$6:$G$105,MATCH(A20,'怪物总表'!$A$6:$A$105,0))*IF(INDEX('怪物总表'!$E$6:$E$105,MATCH(A20,'怪物总表'!$A$6:$A$105,0))=1,$B$128,$B$120*POWER($B$123,(INDEX('怪物总表'!$E$6:$E$105,MATCH(A20,'怪物总表'!$A$6:$A$105,0))-2)/$B$122))*IF(D20="精英",$B$125,1),0)</x:f>
        <x:v>181</x:v>
      </x:c>
    </x:row>
    <x:row r="21" ht="31.5" customHeight="1">
      <x:c r="A21" s="14" t="str">
        <x:v>MON_N013</x:v>
      </x:c>
      <x:c r="B21" s="14" t="str">
        <x:f>INDEX('怪物总表'!$B$6:$B$105,MATCH(A21,'怪物总表'!$A$6:$A$105,0))</x:f>
        <x:v>直目枪哨</x:v>
      </x:c>
      <x:c r="C21" s="14" t="str">
        <x:f>IF($B$6="有效",IF(AND($B$4&gt;=INDEX('怪物总表'!$E$6:$E$105,MATCH(A21,'怪物总表'!$A$6:$A$105,0)),$E$4&gt;=INDEX('怪物总表'!$F$6:$F$105,MATCH(A21,'怪物总表'!$A$6:$A$105,0))),"已达门槛","未达门槛"),"输入无效")</x:f>
        <x:v>未达门槛</x:v>
      </x:c>
      <x:c r="D21" s="14" t="str">
        <x:f>INDEX('怪物总表'!$C$6:$C$105,MATCH(A21,'怪物总表'!$A$6:$A$105,0))</x:f>
        <x:v>普通</x:v>
      </x:c>
      <x:c r="E21" s="24" t="n">
        <x:f>IF($B$6="有效",ROUND(INDEX('怪物总表'!$G$6:$G$105,MATCH(A21,'怪物总表'!$A$6:$A$105,0))*$B$5*$H$5*IF(D21="精英",$B$125,1),0),"输入无效")</x:f>
        <x:v>35</x:v>
      </x:c>
      <x:c r="F21" s="24" t="n">
        <x:f>IF($B$6="有效",ROUND(INDEX('怪物总表'!$H$6:$H$105,MATCH(A21,'怪物总表'!$A$6:$A$105,0))*$E$5*$K$5*IF(D21="精英",$B$126,1),0),"输入无效")</x:f>
        <x:v>6</x:v>
      </x:c>
      <x:c r="G21" s="24" t="n">
        <x:f>IF($B$6="有效",ROUND(F21*INDEX('怪物总表'!$K$6:$K$105,MATCH(A21,'怪物总表'!$A$6:$A$105,0)),0),"输入无效")</x:f>
        <x:v>6</x:v>
      </x:c>
      <x:c r="H21" s="24" t="n">
        <x:f>IF($B$6="有效",ROUND(INDEX('怪物总表'!$I$6:$I$105,MATCH(A21,'怪物总表'!$A$6:$A$105,0))*$B$5,0),"输入无效")</x:f>
        <x:v>0</x:v>
      </x:c>
      <x:c r="I21" s="24" t="n">
        <x:f>IF($B$6="有效",ROUND(INDEX('怪物总表'!$J$6:$J$105,MATCH(A21,'怪物总表'!$A$6:$A$105,0))*$B$5,0),"输入无效")</x:f>
        <x:v>0</x:v>
      </x:c>
      <x:c r="J21" s="28" t="n">
        <x:f>INDEX('怪物总表'!$L$6:$L$105,MATCH(A21,'怪物总表'!$A$6:$A$105,0))*IF(D21="精英",$B$127,1)</x:f>
        <x:v>2</x:v>
      </x:c>
      <x:c r="K21" s="24" t="n">
        <x:f>1+INDEX('怪物总表'!$M$6:$M$105,MATCH(A21,'怪物总表'!$A$6:$A$105,0))</x:f>
        <x:v>1</x:v>
      </x:c>
      <x:c r="L21" s="24" t="n">
        <x:f>ROUND(INDEX('怪物总表'!$G$6:$G$105,MATCH(A21,'怪物总表'!$A$6:$A$105,0))*IF(INDEX('怪物总表'!$E$6:$E$105,MATCH(A21,'怪物总表'!$A$6:$A$105,0))=1,$B$128,$B$120*POWER($B$123,(INDEX('怪物总表'!$E$6:$E$105,MATCH(A21,'怪物总表'!$A$6:$A$105,0))-2)/$B$122))*IF(D21="精英",$B$125,1),0)</x:f>
        <x:v>51</x:v>
      </x:c>
    </x:row>
    <x:row r="22" ht="31.5" customHeight="1">
      <x:c r="A22" s="16" t="str">
        <x:v>MON_N014</x:v>
      </x:c>
      <x:c r="B22" s="16" t="str">
        <x:f>INDEX('怪物总表'!$B$6:$B$105,MATCH(A22,'怪物总表'!$A$6:$A$105,0))</x:f>
        <x:v>并轨针眼</x:v>
      </x:c>
      <x:c r="C22" s="16" t="str">
        <x:f>IF($B$6="有效",IF(AND($B$4&gt;=INDEX('怪物总表'!$E$6:$E$105,MATCH(A22,'怪物总表'!$A$6:$A$105,0)),$E$4&gt;=INDEX('怪物总表'!$F$6:$F$105,MATCH(A22,'怪物总表'!$A$6:$A$105,0))),"已达门槛","未达门槛"),"输入无效")</x:f>
        <x:v>未达门槛</x:v>
      </x:c>
      <x:c r="D22" s="16" t="str">
        <x:f>INDEX('怪物总表'!$C$6:$C$105,MATCH(A22,'怪物总表'!$A$6:$A$105,0))</x:f>
        <x:v>普通</x:v>
      </x:c>
      <x:c r="E22" s="23" t="n">
        <x:f>IF($B$6="有效",ROUND(INDEX('怪物总表'!$G$6:$G$105,MATCH(A22,'怪物总表'!$A$6:$A$105,0))*$B$5*$H$5*IF(D22="精英",$B$125,1),0),"输入无效")</x:f>
        <x:v>40</x:v>
      </x:c>
      <x:c r="F22" s="23" t="n">
        <x:f>IF($B$6="有效",ROUND(INDEX('怪物总表'!$H$6:$H$105,MATCH(A22,'怪物总表'!$A$6:$A$105,0))*$E$5*$K$5*IF(D22="精英",$B$126,1),0),"输入无效")</x:f>
        <x:v>6</x:v>
      </x:c>
      <x:c r="G22" s="23" t="n">
        <x:f>IF($B$6="有效",ROUND(F22*INDEX('怪物总表'!$K$6:$K$105,MATCH(A22,'怪物总表'!$A$6:$A$105,0)),0),"输入无效")</x:f>
        <x:v>6</x:v>
      </x:c>
      <x:c r="H22" s="23" t="n">
        <x:f>IF($B$6="有效",ROUND(INDEX('怪物总表'!$I$6:$I$105,MATCH(A22,'怪物总表'!$A$6:$A$105,0))*$B$5,0),"输入无效")</x:f>
        <x:v>0</x:v>
      </x:c>
      <x:c r="I22" s="23" t="n">
        <x:f>IF($B$6="有效",ROUND(INDEX('怪物总表'!$J$6:$J$105,MATCH(A22,'怪物总表'!$A$6:$A$105,0))*$B$5,0),"输入无效")</x:f>
        <x:v>0</x:v>
      </x:c>
      <x:c r="J22" s="27" t="n">
        <x:f>INDEX('怪物总表'!$L$6:$L$105,MATCH(A22,'怪物总表'!$A$6:$A$105,0))*IF(D22="精英",$B$127,1)</x:f>
        <x:v>2.5</x:v>
      </x:c>
      <x:c r="K22" s="23" t="n">
        <x:f>1+INDEX('怪物总表'!$M$6:$M$105,MATCH(A22,'怪物总表'!$A$6:$A$105,0))</x:f>
        <x:v>1</x:v>
      </x:c>
      <x:c r="L22" s="23" t="n">
        <x:f>ROUND(INDEX('怪物总表'!$G$6:$G$105,MATCH(A22,'怪物总表'!$A$6:$A$105,0))*IF(INDEX('怪物总表'!$E$6:$E$105,MATCH(A22,'怪物总表'!$A$6:$A$105,0))=1,$B$128,$B$120*POWER($B$123,(INDEX('怪物总表'!$E$6:$E$105,MATCH(A22,'怪物总表'!$A$6:$A$105,0))-2)/$B$122))*IF(D22="精英",$B$125,1),0)</x:f>
        <x:v>62</x:v>
      </x:c>
    </x:row>
    <x:row r="23" ht="31.5" customHeight="1">
      <x:c r="A23" s="14" t="str">
        <x:v>MON_N015</x:v>
      </x:c>
      <x:c r="B23" s="14" t="str">
        <x:f>INDEX('怪物总表'!$B$6:$B$105,MATCH(A23,'怪物总表'!$A$6:$A$105,0))</x:f>
        <x:v>横锁晶针</x:v>
      </x:c>
      <x:c r="C23" s="14" t="str">
        <x:f>IF($B$6="有效",IF(AND($B$4&gt;=INDEX('怪物总表'!$E$6:$E$105,MATCH(A23,'怪物总表'!$A$6:$A$105,0)),$E$4&gt;=INDEX('怪物总表'!$F$6:$F$105,MATCH(A23,'怪物总表'!$A$6:$A$105,0))),"已达门槛","未达门槛"),"输入无效")</x:f>
        <x:v>未达门槛</x:v>
      </x:c>
      <x:c r="D23" s="14" t="str">
        <x:f>INDEX('怪物总表'!$C$6:$C$105,MATCH(A23,'怪物总表'!$A$6:$A$105,0))</x:f>
        <x:v>普通</x:v>
      </x:c>
      <x:c r="E23" s="24" t="n">
        <x:f>IF($B$6="有效",ROUND(INDEX('怪物总表'!$G$6:$G$105,MATCH(A23,'怪物总表'!$A$6:$A$105,0))*$B$5*$H$5*IF(D23="精英",$B$125,1),0),"输入无效")</x:f>
        <x:v>40</x:v>
      </x:c>
      <x:c r="F23" s="24" t="n">
        <x:f>IF($B$6="有效",ROUND(INDEX('怪物总表'!$H$6:$H$105,MATCH(A23,'怪物总表'!$A$6:$A$105,0))*$E$5*$K$5*IF(D23="精英",$B$126,1),0),"输入无效")</x:f>
        <x:v>7</x:v>
      </x:c>
      <x:c r="G23" s="24" t="n">
        <x:f>IF($B$6="有效",ROUND(F23*INDEX('怪物总表'!$K$6:$K$105,MATCH(A23,'怪物总表'!$A$6:$A$105,0)),0),"输入无效")</x:f>
        <x:v>7</x:v>
      </x:c>
      <x:c r="H23" s="24" t="n">
        <x:f>IF($B$6="有效",ROUND(INDEX('怪物总表'!$I$6:$I$105,MATCH(A23,'怪物总表'!$A$6:$A$105,0))*$B$5,0),"输入无效")</x:f>
        <x:v>0</x:v>
      </x:c>
      <x:c r="I23" s="24" t="n">
        <x:f>IF($B$6="有效",ROUND(INDEX('怪物总表'!$J$6:$J$105,MATCH(A23,'怪物总表'!$A$6:$A$105,0))*$B$5,0),"输入无效")</x:f>
        <x:v>0</x:v>
      </x:c>
      <x:c r="J23" s="28" t="n">
        <x:f>INDEX('怪物总表'!$L$6:$L$105,MATCH(A23,'怪物总表'!$A$6:$A$105,0))*IF(D23="精英",$B$127,1)</x:f>
        <x:v>2.5</x:v>
      </x:c>
      <x:c r="K23" s="24" t="n">
        <x:f>1+INDEX('怪物总表'!$M$6:$M$105,MATCH(A23,'怪物总表'!$A$6:$A$105,0))</x:f>
        <x:v>1</x:v>
      </x:c>
      <x:c r="L23" s="24" t="n">
        <x:f>ROUND(INDEX('怪物总表'!$G$6:$G$105,MATCH(A23,'怪物总表'!$A$6:$A$105,0))*IF(INDEX('怪物总表'!$E$6:$E$105,MATCH(A23,'怪物总表'!$A$6:$A$105,0))=1,$B$128,$B$120*POWER($B$123,(INDEX('怪物总表'!$E$6:$E$105,MATCH(A23,'怪物总表'!$A$6:$A$105,0))-2)/$B$122))*IF(D23="精英",$B$125,1),0)</x:f>
        <x:v>70</x:v>
      </x:c>
    </x:row>
    <x:row r="24" ht="31.5" customHeight="1">
      <x:c r="A24" s="16" t="str">
        <x:v>MON_N016</x:v>
      </x:c>
      <x:c r="B24" s="16" t="str">
        <x:f>INDEX('怪物总表'!$B$6:$B$105,MATCH(A24,'怪物总表'!$A$6:$A$105,0))</x:f>
        <x:v>步停弩徒</x:v>
      </x:c>
      <x:c r="C24" s="16" t="str">
        <x:f>IF($B$6="有效",IF(AND($B$4&gt;=INDEX('怪物总表'!$E$6:$E$105,MATCH(A24,'怪物总表'!$A$6:$A$105,0)),$E$4&gt;=INDEX('怪物总表'!$F$6:$F$105,MATCH(A24,'怪物总表'!$A$6:$A$105,0))),"已达门槛","未达门槛"),"输入无效")</x:f>
        <x:v>未达门槛</x:v>
      </x:c>
      <x:c r="D24" s="16" t="str">
        <x:f>INDEX('怪物总表'!$C$6:$C$105,MATCH(A24,'怪物总表'!$A$6:$A$105,0))</x:f>
        <x:v>普通</x:v>
      </x:c>
      <x:c r="E24" s="23" t="n">
        <x:f>IF($B$6="有效",ROUND(INDEX('怪物总表'!$G$6:$G$105,MATCH(A24,'怪物总表'!$A$6:$A$105,0))*$B$5*$H$5*IF(D24="精英",$B$125,1),0),"输入无效")</x:f>
        <x:v>35</x:v>
      </x:c>
      <x:c r="F24" s="23" t="n">
        <x:f>IF($B$6="有效",ROUND(INDEX('怪物总表'!$H$6:$H$105,MATCH(A24,'怪物总表'!$A$6:$A$105,0))*$E$5*$K$5*IF(D24="精英",$B$126,1),0),"输入无效")</x:f>
        <x:v>7</x:v>
      </x:c>
      <x:c r="G24" s="23" t="n">
        <x:f>IF($B$6="有效",ROUND(F24*INDEX('怪物总表'!$K$6:$K$105,MATCH(A24,'怪物总表'!$A$6:$A$105,0)),0),"输入无效")</x:f>
        <x:v>7</x:v>
      </x:c>
      <x:c r="H24" s="23" t="n">
        <x:f>IF($B$6="有效",ROUND(INDEX('怪物总表'!$I$6:$I$105,MATCH(A24,'怪物总表'!$A$6:$A$105,0))*$B$5,0),"输入无效")</x:f>
        <x:v>0</x:v>
      </x:c>
      <x:c r="I24" s="23" t="n">
        <x:f>IF($B$6="有效",ROUND(INDEX('怪物总表'!$J$6:$J$105,MATCH(A24,'怪物总表'!$A$6:$A$105,0))*$B$5,0),"输入无效")</x:f>
        <x:v>0</x:v>
      </x:c>
      <x:c r="J24" s="27" t="n">
        <x:f>INDEX('怪物总表'!$L$6:$L$105,MATCH(A24,'怪物总表'!$A$6:$A$105,0))*IF(D24="精英",$B$127,1)</x:f>
        <x:v>2.5</x:v>
      </x:c>
      <x:c r="K24" s="23" t="n">
        <x:f>1+INDEX('怪物总表'!$M$6:$M$105,MATCH(A24,'怪物总表'!$A$6:$A$105,0))</x:f>
        <x:v>1</x:v>
      </x:c>
      <x:c r="L24" s="23" t="n">
        <x:f>ROUND(INDEX('怪物总表'!$G$6:$G$105,MATCH(A24,'怪物总表'!$A$6:$A$105,0))*IF(INDEX('怪物总表'!$E$6:$E$105,MATCH(A24,'怪物总表'!$A$6:$A$105,0))=1,$B$128,$B$120*POWER($B$123,(INDEX('怪物总表'!$E$6:$E$105,MATCH(A24,'怪物总表'!$A$6:$A$105,0))-2)/$B$122))*IF(D24="精英",$B$125,1),0)</x:f>
        <x:v>68</x:v>
      </x:c>
    </x:row>
    <x:row r="25" ht="31.5" customHeight="1">
      <x:c r="A25" s="14" t="str">
        <x:v>MON_N017</x:v>
      </x:c>
      <x:c r="B25" s="14" t="str">
        <x:f>INDEX('怪物总表'!$B$6:$B$105,MATCH(A25,'怪物总表'!$A$6:$A$105,0))</x:f>
        <x:v>正扇吐息</x:v>
      </x:c>
      <x:c r="C25" s="14" t="str">
        <x:f>IF($B$6="有效",IF(AND($B$4&gt;=INDEX('怪物总表'!$E$6:$E$105,MATCH(A25,'怪物总表'!$A$6:$A$105,0)),$E$4&gt;=INDEX('怪物总表'!$F$6:$F$105,MATCH(A25,'怪物总表'!$A$6:$A$105,0))),"已达门槛","未达门槛"),"输入无效")</x:f>
        <x:v>未达门槛</x:v>
      </x:c>
      <x:c r="D25" s="14" t="str">
        <x:f>INDEX('怪物总表'!$C$6:$C$105,MATCH(A25,'怪物总表'!$A$6:$A$105,0))</x:f>
        <x:v>普通</x:v>
      </x:c>
      <x:c r="E25" s="24" t="n">
        <x:f>IF($B$6="有效",ROUND(INDEX('怪物总表'!$G$6:$G$105,MATCH(A25,'怪物总表'!$A$6:$A$105,0))*$B$5*$H$5*IF(D25="精英",$B$125,1),0),"输入无效")</x:f>
        <x:v>45</x:v>
      </x:c>
      <x:c r="F25" s="24" t="n">
        <x:f>IF($B$6="有效",ROUND(INDEX('怪物总表'!$H$6:$H$105,MATCH(A25,'怪物总表'!$A$6:$A$105,0))*$E$5*$K$5*IF(D25="精英",$B$126,1),0),"输入无效")</x:f>
        <x:v>6</x:v>
      </x:c>
      <x:c r="G25" s="24" t="n">
        <x:f>IF($B$6="有效",ROUND(F25*INDEX('怪物总表'!$K$6:$K$105,MATCH(A25,'怪物总表'!$A$6:$A$105,0)),0),"输入无效")</x:f>
        <x:v>6</x:v>
      </x:c>
      <x:c r="H25" s="24" t="n">
        <x:f>IF($B$6="有效",ROUND(INDEX('怪物总表'!$I$6:$I$105,MATCH(A25,'怪物总表'!$A$6:$A$105,0))*$B$5,0),"输入无效")</x:f>
        <x:v>0</x:v>
      </x:c>
      <x:c r="I25" s="24" t="n">
        <x:f>IF($B$6="有效",ROUND(INDEX('怪物总表'!$J$6:$J$105,MATCH(A25,'怪物总表'!$A$6:$A$105,0))*$B$5,0),"输入无效")</x:f>
        <x:v>0</x:v>
      </x:c>
      <x:c r="J25" s="28" t="n">
        <x:f>INDEX('怪物总表'!$L$6:$L$105,MATCH(A25,'怪物总表'!$A$6:$A$105,0))*IF(D25="精英",$B$127,1)</x:f>
        <x:v>2.5</x:v>
      </x:c>
      <x:c r="K25" s="24" t="n">
        <x:f>1+INDEX('怪物总表'!$M$6:$M$105,MATCH(A25,'怪物总表'!$A$6:$A$105,0))</x:f>
        <x:v>1</x:v>
      </x:c>
      <x:c r="L25" s="24" t="n">
        <x:f>ROUND(INDEX('怪物总表'!$G$6:$G$105,MATCH(A25,'怪物总表'!$A$6:$A$105,0))*IF(INDEX('怪物总表'!$E$6:$E$105,MATCH(A25,'怪物总表'!$A$6:$A$105,0))=1,$B$128,$B$120*POWER($B$123,(INDEX('怪物总表'!$E$6:$E$105,MATCH(A25,'怪物总表'!$A$6:$A$105,0))-2)/$B$122))*IF(D25="精英",$B$125,1),0)</x:f>
        <x:v>70</x:v>
      </x:c>
    </x:row>
    <x:row r="26" ht="31.5" customHeight="1">
      <x:c r="A26" s="16" t="str">
        <x:v>MON_N018</x:v>
      </x:c>
      <x:c r="B26" s="16" t="str">
        <x:f>INDEX('怪物总表'!$B$6:$B$105,MATCH(A26,'怪物总表'!$A$6:$A$105,0))</x:f>
        <x:v>交替扫晶</x:v>
      </x:c>
      <x:c r="C26" s="16" t="str">
        <x:f>IF($B$6="有效",IF(AND($B$4&gt;=INDEX('怪物总表'!$E$6:$E$105,MATCH(A26,'怪物总表'!$A$6:$A$105,0)),$E$4&gt;=INDEX('怪物总表'!$F$6:$F$105,MATCH(A26,'怪物总表'!$A$6:$A$105,0))),"已达门槛","未达门槛"),"输入无效")</x:f>
        <x:v>未达门槛</x:v>
      </x:c>
      <x:c r="D26" s="16" t="str">
        <x:f>INDEX('怪物总表'!$C$6:$C$105,MATCH(A26,'怪物总表'!$A$6:$A$105,0))</x:f>
        <x:v>普通</x:v>
      </x:c>
      <x:c r="E26" s="23" t="n">
        <x:f>IF($B$6="有效",ROUND(INDEX('怪物总表'!$G$6:$G$105,MATCH(A26,'怪物总表'!$A$6:$A$105,0))*$B$5*$H$5*IF(D26="精英",$B$125,1),0),"输入无效")</x:f>
        <x:v>50</x:v>
      </x:c>
      <x:c r="F26" s="23" t="n">
        <x:f>IF($B$6="有效",ROUND(INDEX('怪物总表'!$H$6:$H$105,MATCH(A26,'怪物总表'!$A$6:$A$105,0))*$E$5*$K$5*IF(D26="精英",$B$126,1),0),"输入无效")</x:f>
        <x:v>6</x:v>
      </x:c>
      <x:c r="G26" s="23" t="n">
        <x:f>IF($B$6="有效",ROUND(F26*INDEX('怪物总表'!$K$6:$K$105,MATCH(A26,'怪物总表'!$A$6:$A$105,0)),0),"输入无效")</x:f>
        <x:v>6</x:v>
      </x:c>
      <x:c r="H26" s="23" t="n">
        <x:f>IF($B$6="有效",ROUND(INDEX('怪物总表'!$I$6:$I$105,MATCH(A26,'怪物总表'!$A$6:$A$105,0))*$B$5,0),"输入无效")</x:f>
        <x:v>0</x:v>
      </x:c>
      <x:c r="I26" s="23" t="n">
        <x:f>IF($B$6="有效",ROUND(INDEX('怪物总表'!$J$6:$J$105,MATCH(A26,'怪物总表'!$A$6:$A$105,0))*$B$5,0),"输入无效")</x:f>
        <x:v>0</x:v>
      </x:c>
      <x:c r="J26" s="27" t="n">
        <x:f>INDEX('怪物总表'!$L$6:$L$105,MATCH(A26,'怪物总表'!$A$6:$A$105,0))*IF(D26="精英",$B$127,1)</x:f>
        <x:v>3</x:v>
      </x:c>
      <x:c r="K26" s="23" t="n">
        <x:f>1+INDEX('怪物总表'!$M$6:$M$105,MATCH(A26,'怪物总表'!$A$6:$A$105,0))</x:f>
        <x:v>1</x:v>
      </x:c>
      <x:c r="L26" s="23" t="n">
        <x:f>ROUND(INDEX('怪物总表'!$G$6:$G$105,MATCH(A26,'怪物总表'!$A$6:$A$105,0))*IF(INDEX('怪物总表'!$E$6:$E$105,MATCH(A26,'怪物总表'!$A$6:$A$105,0))=1,$B$128,$B$120*POWER($B$123,(INDEX('怪物总表'!$E$6:$E$105,MATCH(A26,'怪物总表'!$A$6:$A$105,0))-2)/$B$122))*IF(D26="精英",$B$125,1),0)</x:f>
        <x:v>84</x:v>
      </x:c>
    </x:row>
    <x:row r="27" ht="31.5" customHeight="1">
      <x:c r="A27" s="14" t="str">
        <x:v>MON_N019</x:v>
      </x:c>
      <x:c r="B27" s="14" t="str">
        <x:f>INDEX('怪物总表'!$B$6:$B$105,MATCH(A27,'怪物总表'!$A$6:$A$105,0))</x:f>
        <x:v>背鸣脑囊</x:v>
      </x:c>
      <x:c r="C27" s="14" t="str">
        <x:f>IF($B$6="有效",IF(AND($B$4&gt;=INDEX('怪物总表'!$E$6:$E$105,MATCH(A27,'怪物总表'!$A$6:$A$105,0)),$E$4&gt;=INDEX('怪物总表'!$F$6:$F$105,MATCH(A27,'怪物总表'!$A$6:$A$105,0))),"已达门槛","未达门槛"),"输入无效")</x:f>
        <x:v>未达门槛</x:v>
      </x:c>
      <x:c r="D27" s="14" t="str">
        <x:f>INDEX('怪物总表'!$C$6:$C$105,MATCH(A27,'怪物总表'!$A$6:$A$105,0))</x:f>
        <x:v>普通</x:v>
      </x:c>
      <x:c r="E27" s="24" t="n">
        <x:f>IF($B$6="有效",ROUND(INDEX('怪物总表'!$G$6:$G$105,MATCH(A27,'怪物总表'!$A$6:$A$105,0))*$B$5*$H$5*IF(D27="精英",$B$125,1),0),"输入无效")</x:f>
        <x:v>48</x:v>
      </x:c>
      <x:c r="F27" s="24" t="n">
        <x:f>IF($B$6="有效",ROUND(INDEX('怪物总表'!$H$6:$H$105,MATCH(A27,'怪物总表'!$A$6:$A$105,0))*$E$5*$K$5*IF(D27="精英",$B$126,1),0),"输入无效")</x:f>
        <x:v>7</x:v>
      </x:c>
      <x:c r="G27" s="24" t="n">
        <x:f>IF($B$6="有效",ROUND(F27*INDEX('怪物总表'!$K$6:$K$105,MATCH(A27,'怪物总表'!$A$6:$A$105,0)),0),"输入无效")</x:f>
        <x:v>7</x:v>
      </x:c>
      <x:c r="H27" s="24" t="n">
        <x:f>IF($B$6="有效",ROUND(INDEX('怪物总表'!$I$6:$I$105,MATCH(A27,'怪物总表'!$A$6:$A$105,0))*$B$5,0),"输入无效")</x:f>
        <x:v>0</x:v>
      </x:c>
      <x:c r="I27" s="24" t="n">
        <x:f>IF($B$6="有效",ROUND(INDEX('怪物总表'!$J$6:$J$105,MATCH(A27,'怪物总表'!$A$6:$A$105,0))*$B$5,0),"输入无效")</x:f>
        <x:v>0</x:v>
      </x:c>
      <x:c r="J27" s="28" t="n">
        <x:f>INDEX('怪物总表'!$L$6:$L$105,MATCH(A27,'怪物总表'!$A$6:$A$105,0))*IF(D27="精英",$B$127,1)</x:f>
        <x:v>3</x:v>
      </x:c>
      <x:c r="K27" s="24" t="n">
        <x:f>1+INDEX('怪物总表'!$M$6:$M$105,MATCH(A27,'怪物总表'!$A$6:$A$105,0))</x:f>
        <x:v>1</x:v>
      </x:c>
      <x:c r="L27" s="24" t="n">
        <x:f>ROUND(INDEX('怪物总表'!$G$6:$G$105,MATCH(A27,'怪物总表'!$A$6:$A$105,0))*IF(INDEX('怪物总表'!$E$6:$E$105,MATCH(A27,'怪物总表'!$A$6:$A$105,0))=1,$B$128,$B$120*POWER($B$123,(INDEX('怪物总表'!$E$6:$E$105,MATCH(A27,'怪物总表'!$A$6:$A$105,0))-2)/$B$122))*IF(D27="精英",$B$125,1),0)</x:f>
        <x:v>90</x:v>
      </x:c>
    </x:row>
    <x:row r="28" ht="31.5" customHeight="1">
      <x:c r="A28" s="16" t="str">
        <x:v>MON_N020</x:v>
      </x:c>
      <x:c r="B28" s="16" t="str">
        <x:f>INDEX('怪物总表'!$B$6:$B$105,MATCH(A28,'怪物总表'!$A$6:$A$105,0))</x:f>
        <x:v>贴环扇喉</x:v>
      </x:c>
      <x:c r="C28" s="16" t="str">
        <x:f>IF($B$6="有效",IF(AND($B$4&gt;=INDEX('怪物总表'!$E$6:$E$105,MATCH(A28,'怪物总表'!$A$6:$A$105,0)),$E$4&gt;=INDEX('怪物总表'!$F$6:$F$105,MATCH(A28,'怪物总表'!$A$6:$A$105,0))),"已达门槛","未达门槛"),"输入无效")</x:f>
        <x:v>未达门槛</x:v>
      </x:c>
      <x:c r="D28" s="16" t="str">
        <x:f>INDEX('怪物总表'!$C$6:$C$105,MATCH(A28,'怪物总表'!$A$6:$A$105,0))</x:f>
        <x:v>普通</x:v>
      </x:c>
      <x:c r="E28" s="23" t="n">
        <x:f>IF($B$6="有效",ROUND(INDEX('怪物总表'!$G$6:$G$105,MATCH(A28,'怪物总表'!$A$6:$A$105,0))*$B$5*$H$5*IF(D28="精英",$B$125,1),0),"输入无效")</x:f>
        <x:v>55</x:v>
      </x:c>
      <x:c r="F28" s="23" t="n">
        <x:f>IF($B$6="有效",ROUND(INDEX('怪物总表'!$H$6:$H$105,MATCH(A28,'怪物总表'!$A$6:$A$105,0))*$E$5*$K$5*IF(D28="精英",$B$126,1),0),"输入无效")</x:f>
        <x:v>8</x:v>
      </x:c>
      <x:c r="G28" s="23" t="n">
        <x:f>IF($B$6="有效",ROUND(F28*INDEX('怪物总表'!$K$6:$K$105,MATCH(A28,'怪物总表'!$A$6:$A$105,0)),0),"输入无效")</x:f>
        <x:v>8</x:v>
      </x:c>
      <x:c r="H28" s="23" t="n">
        <x:f>IF($B$6="有效",ROUND(INDEX('怪物总表'!$I$6:$I$105,MATCH(A28,'怪物总表'!$A$6:$A$105,0))*$B$5,0),"输入无效")</x:f>
        <x:v>0</x:v>
      </x:c>
      <x:c r="I28" s="23" t="n">
        <x:f>IF($B$6="有效",ROUND(INDEX('怪物总表'!$J$6:$J$105,MATCH(A28,'怪物总表'!$A$6:$A$105,0))*$B$5,0),"输入无效")</x:f>
        <x:v>0</x:v>
      </x:c>
      <x:c r="J28" s="27" t="n">
        <x:f>INDEX('怪物总表'!$L$6:$L$105,MATCH(A28,'怪物总表'!$A$6:$A$105,0))*IF(D28="精英",$B$127,1)</x:f>
        <x:v>3.5</x:v>
      </x:c>
      <x:c r="K28" s="23" t="n">
        <x:f>1+INDEX('怪物总表'!$M$6:$M$105,MATCH(A28,'怪物总表'!$A$6:$A$105,0))</x:f>
        <x:v>1</x:v>
      </x:c>
      <x:c r="L28" s="23" t="n">
        <x:f>ROUND(INDEX('怪物总表'!$G$6:$G$105,MATCH(A28,'怪物总表'!$A$6:$A$105,0))*IF(INDEX('怪物总表'!$E$6:$E$105,MATCH(A28,'怪物总表'!$A$6:$A$105,0))=1,$B$128,$B$120*POWER($B$123,(INDEX('怪物总表'!$E$6:$E$105,MATCH(A28,'怪物总表'!$A$6:$A$105,0))-2)/$B$122))*IF(D28="精英",$B$125,1),0)</x:f>
        <x:v>115</x:v>
      </x:c>
    </x:row>
    <x:row r="29" ht="31.5" customHeight="1">
      <x:c r="A29" s="14" t="str">
        <x:v>MON_N021</x:v>
      </x:c>
      <x:c r="B29" s="14" t="str">
        <x:f>INDEX('怪物总表'!$B$6:$B$105,MATCH(A29,'怪物总表'!$A$6:$A$105,0))</x:f>
        <x:v>定点囊炮</x:v>
      </x:c>
      <x:c r="C29" s="14" t="str">
        <x:f>IF($B$6="有效",IF(AND($B$4&gt;=INDEX('怪物总表'!$E$6:$E$105,MATCH(A29,'怪物总表'!$A$6:$A$105,0)),$E$4&gt;=INDEX('怪物总表'!$F$6:$F$105,MATCH(A29,'怪物总表'!$A$6:$A$105,0))),"已达门槛","未达门槛"),"输入无效")</x:f>
        <x:v>未达门槛</x:v>
      </x:c>
      <x:c r="D29" s="14" t="str">
        <x:f>INDEX('怪物总表'!$C$6:$C$105,MATCH(A29,'怪物总表'!$A$6:$A$105,0))</x:f>
        <x:v>普通</x:v>
      </x:c>
      <x:c r="E29" s="24" t="n">
        <x:f>IF($B$6="有效",ROUND(INDEX('怪物总表'!$G$6:$G$105,MATCH(A29,'怪物总表'!$A$6:$A$105,0))*$B$5*$H$5*IF(D29="精英",$B$125,1),0),"输入无效")</x:f>
        <x:v>40</x:v>
      </x:c>
      <x:c r="F29" s="24" t="n">
        <x:f>IF($B$6="有效",ROUND(INDEX('怪物总表'!$H$6:$H$105,MATCH(A29,'怪物总表'!$A$6:$A$105,0))*$E$5*$K$5*IF(D29="精英",$B$126,1),0),"输入无效")</x:f>
        <x:v>9</x:v>
      </x:c>
      <x:c r="G29" s="24" t="n">
        <x:f>IF($B$6="有效",ROUND(F29*INDEX('怪物总表'!$K$6:$K$105,MATCH(A29,'怪物总表'!$A$6:$A$105,0)),0),"输入无效")</x:f>
        <x:v>9</x:v>
      </x:c>
      <x:c r="H29" s="24" t="n">
        <x:f>IF($B$6="有效",ROUND(INDEX('怪物总表'!$I$6:$I$105,MATCH(A29,'怪物总表'!$A$6:$A$105,0))*$B$5,0),"输入无效")</x:f>
        <x:v>0</x:v>
      </x:c>
      <x:c r="I29" s="24" t="n">
        <x:f>IF($B$6="有效",ROUND(INDEX('怪物总表'!$J$6:$J$105,MATCH(A29,'怪物总表'!$A$6:$A$105,0))*$B$5,0),"输入无效")</x:f>
        <x:v>0</x:v>
      </x:c>
      <x:c r="J29" s="28" t="n">
        <x:f>INDEX('怪物总表'!$L$6:$L$105,MATCH(A29,'怪物总表'!$A$6:$A$105,0))*IF(D29="精英",$B$127,1)</x:f>
        <x:v>3</x:v>
      </x:c>
      <x:c r="K29" s="24" t="n">
        <x:f>1+INDEX('怪物总表'!$M$6:$M$105,MATCH(A29,'怪物总表'!$A$6:$A$105,0))</x:f>
        <x:v>1</x:v>
      </x:c>
      <x:c r="L29" s="24" t="n">
        <x:f>ROUND(INDEX('怪物总表'!$G$6:$G$105,MATCH(A29,'怪物总表'!$A$6:$A$105,0))*IF(INDEX('怪物总表'!$E$6:$E$105,MATCH(A29,'怪物总表'!$A$6:$A$105,0))=1,$B$128,$B$120*POWER($B$123,(INDEX('怪物总表'!$E$6:$E$105,MATCH(A29,'怪物总表'!$A$6:$A$105,0))-2)/$B$122))*IF(D29="精英",$B$125,1),0)</x:f>
        <x:v>65</x:v>
      </x:c>
    </x:row>
    <x:row r="30" ht="31.5" customHeight="1">
      <x:c r="A30" s="16" t="str">
        <x:v>MON_N022</x:v>
      </x:c>
      <x:c r="B30" s="16" t="str">
        <x:f>INDEX('怪物总表'!$B$6:$B$105,MATCH(A30,'怪物总表'!$A$6:$A$105,0))</x:f>
        <x:v>错位投囊</x:v>
      </x:c>
      <x:c r="C30" s="16" t="str">
        <x:f>IF($B$6="有效",IF(AND($B$4&gt;=INDEX('怪物总表'!$E$6:$E$105,MATCH(A30,'怪物总表'!$A$6:$A$105,0)),$E$4&gt;=INDEX('怪物总表'!$F$6:$F$105,MATCH(A30,'怪物总表'!$A$6:$A$105,0))),"已达门槛","未达门槛"),"输入无效")</x:f>
        <x:v>未达门槛</x:v>
      </x:c>
      <x:c r="D30" s="16" t="str">
        <x:f>INDEX('怪物总表'!$C$6:$C$105,MATCH(A30,'怪物总表'!$A$6:$A$105,0))</x:f>
        <x:v>普通</x:v>
      </x:c>
      <x:c r="E30" s="23" t="n">
        <x:f>IF($B$6="有效",ROUND(INDEX('怪物总表'!$G$6:$G$105,MATCH(A30,'怪物总表'!$A$6:$A$105,0))*$B$5*$H$5*IF(D30="精英",$B$125,1),0),"输入无效")</x:f>
        <x:v>45</x:v>
      </x:c>
      <x:c r="F30" s="23" t="n">
        <x:f>IF($B$6="有效",ROUND(INDEX('怪物总表'!$H$6:$H$105,MATCH(A30,'怪物总表'!$A$6:$A$105,0))*$E$5*$K$5*IF(D30="精英",$B$126,1),0),"输入无效")</x:f>
        <x:v>8</x:v>
      </x:c>
      <x:c r="G30" s="23" t="n">
        <x:f>IF($B$6="有效",ROUND(F30*INDEX('怪物总表'!$K$6:$K$105,MATCH(A30,'怪物总表'!$A$6:$A$105,0)),0),"输入无效")</x:f>
        <x:v>8</x:v>
      </x:c>
      <x:c r="H30" s="23" t="n">
        <x:f>IF($B$6="有效",ROUND(INDEX('怪物总表'!$I$6:$I$105,MATCH(A30,'怪物总表'!$A$6:$A$105,0))*$B$5,0),"输入无效")</x:f>
        <x:v>0</x:v>
      </x:c>
      <x:c r="I30" s="23" t="n">
        <x:f>IF($B$6="有效",ROUND(INDEX('怪物总表'!$J$6:$J$105,MATCH(A30,'怪物总表'!$A$6:$A$105,0))*$B$5,0),"输入无效")</x:f>
        <x:v>0</x:v>
      </x:c>
      <x:c r="J30" s="27" t="n">
        <x:f>INDEX('怪物总表'!$L$6:$L$105,MATCH(A30,'怪物总表'!$A$6:$A$105,0))*IF(D30="精英",$B$127,1)</x:f>
        <x:v>3</x:v>
      </x:c>
      <x:c r="K30" s="23" t="n">
        <x:f>1+INDEX('怪物总表'!$M$6:$M$105,MATCH(A30,'怪物总表'!$A$6:$A$105,0))</x:f>
        <x:v>1</x:v>
      </x:c>
      <x:c r="L30" s="23" t="n">
        <x:f>ROUND(INDEX('怪物总表'!$G$6:$G$105,MATCH(A30,'怪物总表'!$A$6:$A$105,0))*IF(INDEX('怪物总表'!$E$6:$E$105,MATCH(A30,'怪物总表'!$A$6:$A$105,0))=1,$B$128,$B$120*POWER($B$123,(INDEX('怪物总表'!$E$6:$E$105,MATCH(A30,'怪物总表'!$A$6:$A$105,0))-2)/$B$122))*IF(D30="精英",$B$125,1),0)</x:f>
        <x:v>78</x:v>
      </x:c>
    </x:row>
    <x:row r="31" ht="31.5" customHeight="1">
      <x:c r="A31" s="14" t="str">
        <x:v>MON_N023</x:v>
      </x:c>
      <x:c r="B31" s="14" t="str">
        <x:f>INDEX('怪物总表'!$B$6:$B$105,MATCH(A31,'怪物总表'!$A$6:$A$105,0))</x:f>
        <x:v>横裂投手</x:v>
      </x:c>
      <x:c r="C31" s="14" t="str">
        <x:f>IF($B$6="有效",IF(AND($B$4&gt;=INDEX('怪物总表'!$E$6:$E$105,MATCH(A31,'怪物总表'!$A$6:$A$105,0)),$E$4&gt;=INDEX('怪物总表'!$F$6:$F$105,MATCH(A31,'怪物总表'!$A$6:$A$105,0))),"已达门槛","未达门槛"),"输入无效")</x:f>
        <x:v>未达门槛</x:v>
      </x:c>
      <x:c r="D31" s="14" t="str">
        <x:f>INDEX('怪物总表'!$C$6:$C$105,MATCH(A31,'怪物总表'!$A$6:$A$105,0))</x:f>
        <x:v>普通</x:v>
      </x:c>
      <x:c r="E31" s="24" t="n">
        <x:f>IF($B$6="有效",ROUND(INDEX('怪物总表'!$G$6:$G$105,MATCH(A31,'怪物总表'!$A$6:$A$105,0))*$B$5*$H$5*IF(D31="精英",$B$125,1),0),"输入无效")</x:f>
        <x:v>50</x:v>
      </x:c>
      <x:c r="F31" s="24" t="n">
        <x:f>IF($B$6="有效",ROUND(INDEX('怪物总表'!$H$6:$H$105,MATCH(A31,'怪物总表'!$A$6:$A$105,0))*$E$5*$K$5*IF(D31="精英",$B$126,1),0),"输入无效")</x:f>
        <x:v>8</x:v>
      </x:c>
      <x:c r="G31" s="24" t="n">
        <x:f>IF($B$6="有效",ROUND(F31*INDEX('怪物总表'!$K$6:$K$105,MATCH(A31,'怪物总表'!$A$6:$A$105,0)),0),"输入无效")</x:f>
        <x:v>8</x:v>
      </x:c>
      <x:c r="H31" s="24" t="n">
        <x:f>IF($B$6="有效",ROUND(INDEX('怪物总表'!$I$6:$I$105,MATCH(A31,'怪物总表'!$A$6:$A$105,0))*$B$5,0),"输入无效")</x:f>
        <x:v>0</x:v>
      </x:c>
      <x:c r="I31" s="24" t="n">
        <x:f>IF($B$6="有效",ROUND(INDEX('怪物总表'!$J$6:$J$105,MATCH(A31,'怪物总表'!$A$6:$A$105,0))*$B$5,0),"输入无效")</x:f>
        <x:v>0</x:v>
      </x:c>
      <x:c r="J31" s="28" t="n">
        <x:f>INDEX('怪物总表'!$L$6:$L$105,MATCH(A31,'怪物总表'!$A$6:$A$105,0))*IF(D31="精英",$B$127,1)</x:f>
        <x:v>3.5</x:v>
      </x:c>
      <x:c r="K31" s="24" t="n">
        <x:f>1+INDEX('怪物总表'!$M$6:$M$105,MATCH(A31,'怪物总表'!$A$6:$A$105,0))</x:f>
        <x:v>1</x:v>
      </x:c>
      <x:c r="L31" s="24" t="n">
        <x:f>ROUND(INDEX('怪物总表'!$G$6:$G$105,MATCH(A31,'怪物总表'!$A$6:$A$105,0))*IF(INDEX('怪物总表'!$E$6:$E$105,MATCH(A31,'怪物总表'!$A$6:$A$105,0))=1,$B$128,$B$120*POWER($B$123,(INDEX('怪物总表'!$E$6:$E$105,MATCH(A31,'怪物总表'!$A$6:$A$105,0))-2)/$B$122))*IF(D31="精英",$B$125,1),0)</x:f>
        <x:v>97</x:v>
      </x:c>
    </x:row>
    <x:row r="32" ht="31.5" customHeight="1">
      <x:c r="A32" s="16" t="str">
        <x:v>MON_N024</x:v>
      </x:c>
      <x:c r="B32" s="16" t="str">
        <x:f>INDEX('怪物总表'!$B$6:$B$105,MATCH(A32,'怪物总表'!$A$6:$A$105,0))</x:f>
        <x:v>顺序掷囊者</x:v>
      </x:c>
      <x:c r="C32" s="16" t="str">
        <x:f>IF($B$6="有效",IF(AND($B$4&gt;=INDEX('怪物总表'!$E$6:$E$105,MATCH(A32,'怪物总表'!$A$6:$A$105,0)),$E$4&gt;=INDEX('怪物总表'!$F$6:$F$105,MATCH(A32,'怪物总表'!$A$6:$A$105,0))),"已达门槛","未达门槛"),"输入无效")</x:f>
        <x:v>未达门槛</x:v>
      </x:c>
      <x:c r="D32" s="16" t="str">
        <x:f>INDEX('怪物总表'!$C$6:$C$105,MATCH(A32,'怪物总表'!$A$6:$A$105,0))</x:f>
        <x:v>普通</x:v>
      </x:c>
      <x:c r="E32" s="23" t="n">
        <x:f>IF($B$6="有效",ROUND(INDEX('怪物总表'!$G$6:$G$105,MATCH(A32,'怪物总表'!$A$6:$A$105,0))*$B$5*$H$5*IF(D32="精英",$B$125,1),0),"输入无效")</x:f>
        <x:v>60</x:v>
      </x:c>
      <x:c r="F32" s="23" t="n">
        <x:f>IF($B$6="有效",ROUND(INDEX('怪物总表'!$H$6:$H$105,MATCH(A32,'怪物总表'!$A$6:$A$105,0))*$E$5*$K$5*IF(D32="精英",$B$126,1),0),"输入无效")</x:f>
        <x:v>8</x:v>
      </x:c>
      <x:c r="G32" s="23" t="n">
        <x:f>IF($B$6="有效",ROUND(F32*INDEX('怪物总表'!$K$6:$K$105,MATCH(A32,'怪物总表'!$A$6:$A$105,0)),0),"输入无效")</x:f>
        <x:v>8</x:v>
      </x:c>
      <x:c r="H32" s="23" t="n">
        <x:f>IF($B$6="有效",ROUND(INDEX('怪物总表'!$I$6:$I$105,MATCH(A32,'怪物总表'!$A$6:$A$105,0))*$B$5,0),"输入无效")</x:f>
        <x:v>0</x:v>
      </x:c>
      <x:c r="I32" s="23" t="n">
        <x:f>IF($B$6="有效",ROUND(INDEX('怪物总表'!$J$6:$J$105,MATCH(A32,'怪物总表'!$A$6:$A$105,0))*$B$5,0),"输入无效")</x:f>
        <x:v>0</x:v>
      </x:c>
      <x:c r="J32" s="27" t="n">
        <x:f>INDEX('怪物总表'!$L$6:$L$105,MATCH(A32,'怪物总表'!$A$6:$A$105,0))*IF(D32="精英",$B$127,1)</x:f>
        <x:v>4</x:v>
      </x:c>
      <x:c r="K32" s="23" t="n">
        <x:f>1+INDEX('怪物总表'!$M$6:$M$105,MATCH(A32,'怪物总表'!$A$6:$A$105,0))</x:f>
        <x:v>1</x:v>
      </x:c>
      <x:c r="L32" s="23" t="n">
        <x:f>ROUND(INDEX('怪物总表'!$G$6:$G$105,MATCH(A32,'怪物总表'!$A$6:$A$105,0))*IF(INDEX('怪物总表'!$E$6:$E$105,MATCH(A32,'怪物总表'!$A$6:$A$105,0))=1,$B$128,$B$120*POWER($B$123,(INDEX('怪物总表'!$E$6:$E$105,MATCH(A32,'怪物总表'!$A$6:$A$105,0))-2)/$B$122))*IF(D32="精英",$B$125,1),0)</x:f>
        <x:v>130</x:v>
      </x:c>
    </x:row>
    <x:row r="33" ht="31.5" customHeight="1">
      <x:c r="A33" s="14" t="str">
        <x:v>MON_N025</x:v>
      </x:c>
      <x:c r="B33" s="14" t="str">
        <x:f>INDEX('怪物总表'!$B$6:$B$105,MATCH(A33,'怪物总表'!$A$6:$A$105,0))</x:f>
        <x:v>内环震徒</x:v>
      </x:c>
      <x:c r="C33" s="14" t="str">
        <x:f>IF($B$6="有效",IF(AND($B$4&gt;=INDEX('怪物总表'!$E$6:$E$105,MATCH(A33,'怪物总表'!$A$6:$A$105,0)),$E$4&gt;=INDEX('怪物总表'!$F$6:$F$105,MATCH(A33,'怪物总表'!$A$6:$A$105,0))),"已达门槛","未达门槛"),"输入无效")</x:f>
        <x:v>未达门槛</x:v>
      </x:c>
      <x:c r="D33" s="14" t="str">
        <x:f>INDEX('怪物总表'!$C$6:$C$105,MATCH(A33,'怪物总表'!$A$6:$A$105,0))</x:f>
        <x:v>普通</x:v>
      </x:c>
      <x:c r="E33" s="24" t="n">
        <x:f>IF($B$6="有效",ROUND(INDEX('怪物总表'!$G$6:$G$105,MATCH(A33,'怪物总表'!$A$6:$A$105,0))*$B$5*$H$5*IF(D33="精英",$B$125,1),0),"输入无效")</x:f>
        <x:v>50</x:v>
      </x:c>
      <x:c r="F33" s="24" t="n">
        <x:f>IF($B$6="有效",ROUND(INDEX('怪物总表'!$H$6:$H$105,MATCH(A33,'怪物总表'!$A$6:$A$105,0))*$E$5*$K$5*IF(D33="精英",$B$126,1),0),"输入无效")</x:f>
        <x:v>7</x:v>
      </x:c>
      <x:c r="G33" s="24" t="n">
        <x:f>IF($B$6="有效",ROUND(F33*INDEX('怪物总表'!$K$6:$K$105,MATCH(A33,'怪物总表'!$A$6:$A$105,0)),0),"输入无效")</x:f>
        <x:v>7</x:v>
      </x:c>
      <x:c r="H33" s="24" t="n">
        <x:f>IF($B$6="有效",ROUND(INDEX('怪物总表'!$I$6:$I$105,MATCH(A33,'怪物总表'!$A$6:$A$105,0))*$B$5,0),"输入无效")</x:f>
        <x:v>0</x:v>
      </x:c>
      <x:c r="I33" s="24" t="n">
        <x:f>IF($B$6="有效",ROUND(INDEX('怪物总表'!$J$6:$J$105,MATCH(A33,'怪物总表'!$A$6:$A$105,0))*$B$5,0),"输入无效")</x:f>
        <x:v>0</x:v>
      </x:c>
      <x:c r="J33" s="28" t="n">
        <x:f>INDEX('怪物总表'!$L$6:$L$105,MATCH(A33,'怪物总表'!$A$6:$A$105,0))*IF(D33="精英",$B$127,1)</x:f>
        <x:v>3</x:v>
      </x:c>
      <x:c r="K33" s="24" t="n">
        <x:f>1+INDEX('怪物总表'!$M$6:$M$105,MATCH(A33,'怪物总表'!$A$6:$A$105,0))</x:f>
        <x:v>1</x:v>
      </x:c>
      <x:c r="L33" s="24" t="n">
        <x:f>ROUND(INDEX('怪物总表'!$G$6:$G$105,MATCH(A33,'怪物总表'!$A$6:$A$105,0))*IF(INDEX('怪物总表'!$E$6:$E$105,MATCH(A33,'怪物总表'!$A$6:$A$105,0))=1,$B$128,$B$120*POWER($B$123,(INDEX('怪物总表'!$E$6:$E$105,MATCH(A33,'怪物总表'!$A$6:$A$105,0))-2)/$B$122))*IF(D33="精英",$B$125,1),0)</x:f>
        <x:v>84</x:v>
      </x:c>
    </x:row>
    <x:row r="34" ht="31.5" customHeight="1">
      <x:c r="A34" s="16" t="str">
        <x:v>MON_N026</x:v>
      </x:c>
      <x:c r="B34" s="16" t="str">
        <x:f>INDEX('怪物总表'!$B$6:$B$105,MATCH(A34,'怪物总表'!$A$6:$A$105,0))</x:f>
        <x:v>扩环火灵</x:v>
      </x:c>
      <x:c r="C34" s="16" t="str">
        <x:f>IF($B$6="有效",IF(AND($B$4&gt;=INDEX('怪物总表'!$E$6:$E$105,MATCH(A34,'怪物总表'!$A$6:$A$105,0)),$E$4&gt;=INDEX('怪物总表'!$F$6:$F$105,MATCH(A34,'怪物总表'!$A$6:$A$105,0))),"已达门槛","未达门槛"),"输入无效")</x:f>
        <x:v>未达门槛</x:v>
      </x:c>
      <x:c r="D34" s="16" t="str">
        <x:f>INDEX('怪物总表'!$C$6:$C$105,MATCH(A34,'怪物总表'!$A$6:$A$105,0))</x:f>
        <x:v>普通</x:v>
      </x:c>
      <x:c r="E34" s="23" t="n">
        <x:f>IF($B$6="有效",ROUND(INDEX('怪物总表'!$G$6:$G$105,MATCH(A34,'怪物总表'!$A$6:$A$105,0))*$B$5*$H$5*IF(D34="精英",$B$125,1),0),"输入无效")</x:f>
        <x:v>55</x:v>
      </x:c>
      <x:c r="F34" s="23" t="n">
        <x:f>IF($B$6="有效",ROUND(INDEX('怪物总表'!$H$6:$H$105,MATCH(A34,'怪物总表'!$A$6:$A$105,0))*$E$5*$K$5*IF(D34="精英",$B$126,1),0),"输入无效")</x:f>
        <x:v>7</x:v>
      </x:c>
      <x:c r="G34" s="23" t="n">
        <x:f>IF($B$6="有效",ROUND(F34*INDEX('怪物总表'!$K$6:$K$105,MATCH(A34,'怪物总表'!$A$6:$A$105,0)),0),"输入无效")</x:f>
        <x:v>7</x:v>
      </x:c>
      <x:c r="H34" s="23" t="n">
        <x:f>IF($B$6="有效",ROUND(INDEX('怪物总表'!$I$6:$I$105,MATCH(A34,'怪物总表'!$A$6:$A$105,0))*$B$5,0),"输入无效")</x:f>
        <x:v>0</x:v>
      </x:c>
      <x:c r="I34" s="23" t="n">
        <x:f>IF($B$6="有效",ROUND(INDEX('怪物总表'!$J$6:$J$105,MATCH(A34,'怪物总表'!$A$6:$A$105,0))*$B$5,0),"输入无效")</x:f>
        <x:v>0</x:v>
      </x:c>
      <x:c r="J34" s="27" t="n">
        <x:f>INDEX('怪物总表'!$L$6:$L$105,MATCH(A34,'怪物总表'!$A$6:$A$105,0))*IF(D34="精英",$B$127,1)</x:f>
        <x:v>3.5</x:v>
      </x:c>
      <x:c r="K34" s="23" t="n">
        <x:f>1+INDEX('怪物总表'!$M$6:$M$105,MATCH(A34,'怪物总表'!$A$6:$A$105,0))</x:f>
        <x:v>1</x:v>
      </x:c>
      <x:c r="L34" s="23" t="n">
        <x:f>ROUND(INDEX('怪物总表'!$G$6:$G$105,MATCH(A34,'怪物总表'!$A$6:$A$105,0))*IF(INDEX('怪物总表'!$E$6:$E$105,MATCH(A34,'怪物总表'!$A$6:$A$105,0))=1,$B$128,$B$120*POWER($B$123,(INDEX('怪物总表'!$E$6:$E$105,MATCH(A34,'怪物总表'!$A$6:$A$105,0))-2)/$B$122))*IF(D34="精英",$B$125,1),0)</x:f>
        <x:v>99</x:v>
      </x:c>
    </x:row>
    <x:row r="35" ht="31.5" customHeight="1">
      <x:c r="A35" s="14" t="str">
        <x:v>MON_N027</x:v>
      </x:c>
      <x:c r="B35" s="14" t="str">
        <x:f>INDEX('怪物总表'!$B$6:$B$105,MATCH(A35,'怪物总表'!$A$6:$A$105,0))</x:f>
        <x:v>缺口轮卫</x:v>
      </x:c>
      <x:c r="C35" s="14" t="str">
        <x:f>IF($B$6="有效",IF(AND($B$4&gt;=INDEX('怪物总表'!$E$6:$E$105,MATCH(A35,'怪物总表'!$A$6:$A$105,0)),$E$4&gt;=INDEX('怪物总表'!$F$6:$F$105,MATCH(A35,'怪物总表'!$A$6:$A$105,0))),"已达门槛","未达门槛"),"输入无效")</x:f>
        <x:v>未达门槛</x:v>
      </x:c>
      <x:c r="D35" s="14" t="str">
        <x:f>INDEX('怪物总表'!$C$6:$C$105,MATCH(A35,'怪物总表'!$A$6:$A$105,0))</x:f>
        <x:v>普通</x:v>
      </x:c>
      <x:c r="E35" s="24" t="n">
        <x:f>IF($B$6="有效",ROUND(INDEX('怪物总表'!$G$6:$G$105,MATCH(A35,'怪物总表'!$A$6:$A$105,0))*$B$5*$H$5*IF(D35="精英",$B$125,1),0),"输入无效")</x:f>
        <x:v>60</x:v>
      </x:c>
      <x:c r="F35" s="24" t="n">
        <x:f>IF($B$6="有效",ROUND(INDEX('怪物总表'!$H$6:$H$105,MATCH(A35,'怪物总表'!$A$6:$A$105,0))*$E$5*$K$5*IF(D35="精英",$B$126,1),0),"输入无效")</x:f>
        <x:v>7</x:v>
      </x:c>
      <x:c r="G35" s="24" t="n">
        <x:f>IF($B$6="有效",ROUND(F35*INDEX('怪物总表'!$K$6:$K$105,MATCH(A35,'怪物总表'!$A$6:$A$105,0)),0),"输入无效")</x:f>
        <x:v>7</x:v>
      </x:c>
      <x:c r="H35" s="24" t="n">
        <x:f>IF($B$6="有效",ROUND(INDEX('怪物总表'!$I$6:$I$105,MATCH(A35,'怪物总表'!$A$6:$A$105,0))*$B$5,0),"输入无效")</x:f>
        <x:v>0</x:v>
      </x:c>
      <x:c r="I35" s="24" t="n">
        <x:f>IF($B$6="有效",ROUND(INDEX('怪物总表'!$J$6:$J$105,MATCH(A35,'怪物总表'!$A$6:$A$105,0))*$B$5,0),"输入无效")</x:f>
        <x:v>0</x:v>
      </x:c>
      <x:c r="J35" s="28" t="n">
        <x:f>INDEX('怪物总表'!$L$6:$L$105,MATCH(A35,'怪物总表'!$A$6:$A$105,0))*IF(D35="精英",$B$127,1)</x:f>
        <x:v>3.5</x:v>
      </x:c>
      <x:c r="K35" s="24" t="n">
        <x:f>1+INDEX('怪物总表'!$M$6:$M$105,MATCH(A35,'怪物总表'!$A$6:$A$105,0))</x:f>
        <x:v>1</x:v>
      </x:c>
      <x:c r="L35" s="24" t="n">
        <x:f>ROUND(INDEX('怪物总表'!$G$6:$G$105,MATCH(A35,'怪物总表'!$A$6:$A$105,0))*IF(INDEX('怪物总表'!$E$6:$E$105,MATCH(A35,'怪物总表'!$A$6:$A$105,0))=1,$B$128,$B$120*POWER($B$123,(INDEX('怪物总表'!$E$6:$E$105,MATCH(A35,'怪物总表'!$A$6:$A$105,0))-2)/$B$122))*IF(D35="精英",$B$125,1),0)</x:f>
        <x:v>121</x:v>
      </x:c>
    </x:row>
    <x:row r="36" ht="31.5" customHeight="1">
      <x:c r="A36" s="16" t="str">
        <x:v>MON_N028</x:v>
      </x:c>
      <x:c r="B36" s="16" t="str">
        <x:f>INDEX('怪物总表'!$B$6:$B$105,MATCH(A36,'怪物总表'!$A$6:$A$105,0))</x:f>
        <x:v>半轮旋脑</x:v>
      </x:c>
      <x:c r="C36" s="16" t="str">
        <x:f>IF($B$6="有效",IF(AND($B$4&gt;=INDEX('怪物总表'!$E$6:$E$105,MATCH(A36,'怪物总表'!$A$6:$A$105,0)),$E$4&gt;=INDEX('怪物总表'!$F$6:$F$105,MATCH(A36,'怪物总表'!$A$6:$A$105,0))),"已达门槛","未达门槛"),"输入无效")</x:f>
        <x:v>未达门槛</x:v>
      </x:c>
      <x:c r="D36" s="16" t="str">
        <x:f>INDEX('怪物总表'!$C$6:$C$105,MATCH(A36,'怪物总表'!$A$6:$A$105,0))</x:f>
        <x:v>普通</x:v>
      </x:c>
      <x:c r="E36" s="23" t="n">
        <x:f>IF($B$6="有效",ROUND(INDEX('怪物总表'!$G$6:$G$105,MATCH(A36,'怪物总表'!$A$6:$A$105,0))*$B$5*$H$5*IF(D36="精英",$B$125,1),0),"输入无效")</x:f>
        <x:v>58</x:v>
      </x:c>
      <x:c r="F36" s="23" t="n">
        <x:f>IF($B$6="有效",ROUND(INDEX('怪物总表'!$H$6:$H$105,MATCH(A36,'怪物总表'!$A$6:$A$105,0))*$E$5*$K$5*IF(D36="精英",$B$126,1),0),"输入无效")</x:f>
        <x:v>7</x:v>
      </x:c>
      <x:c r="G36" s="23" t="n">
        <x:f>IF($B$6="有效",ROUND(F36*INDEX('怪物总表'!$K$6:$K$105,MATCH(A36,'怪物总表'!$A$6:$A$105,0)),0),"输入无效")</x:f>
        <x:v>7</x:v>
      </x:c>
      <x:c r="H36" s="23" t="n">
        <x:f>IF($B$6="有效",ROUND(INDEX('怪物总表'!$I$6:$I$105,MATCH(A36,'怪物总表'!$A$6:$A$105,0))*$B$5,0),"输入无效")</x:f>
        <x:v>0</x:v>
      </x:c>
      <x:c r="I36" s="23" t="n">
        <x:f>IF($B$6="有效",ROUND(INDEX('怪物总表'!$J$6:$J$105,MATCH(A36,'怪物总表'!$A$6:$A$105,0))*$B$5,0),"输入无效")</x:f>
        <x:v>0</x:v>
      </x:c>
      <x:c r="J36" s="27" t="n">
        <x:f>INDEX('怪物总表'!$L$6:$L$105,MATCH(A36,'怪物总表'!$A$6:$A$105,0))*IF(D36="精英",$B$127,1)</x:f>
        <x:v>3.5</x:v>
      </x:c>
      <x:c r="K36" s="23" t="n">
        <x:f>1+INDEX('怪物总表'!$M$6:$M$105,MATCH(A36,'怪物总表'!$A$6:$A$105,0))</x:f>
        <x:v>1</x:v>
      </x:c>
      <x:c r="L36" s="23" t="n">
        <x:f>ROUND(INDEX('怪物总表'!$G$6:$G$105,MATCH(A36,'怪物总表'!$A$6:$A$105,0))*IF(INDEX('怪物总表'!$E$6:$E$105,MATCH(A36,'怪物总表'!$A$6:$A$105,0))=1,$B$128,$B$120*POWER($B$123,(INDEX('怪物总表'!$E$6:$E$105,MATCH(A36,'怪物总表'!$A$6:$A$105,0))-2)/$B$122))*IF(D36="精英",$B$125,1),0)</x:f>
        <x:v>130</x:v>
      </x:c>
    </x:row>
    <x:row r="37" ht="31.5" customHeight="1">
      <x:c r="A37" s="14" t="str">
        <x:v>MON_N029</x:v>
      </x:c>
      <x:c r="B37" s="14" t="str">
        <x:f>INDEX('怪物总表'!$B$6:$B$105,MATCH(A37,'怪物总表'!$A$6:$A$105,0))</x:f>
        <x:v>余痕晶刺</x:v>
      </x:c>
      <x:c r="C37" s="14" t="str">
        <x:f>IF($B$6="有效",IF(AND($B$4&gt;=INDEX('怪物总表'!$E$6:$E$105,MATCH(A37,'怪物总表'!$A$6:$A$105,0)),$E$4&gt;=INDEX('怪物总表'!$F$6:$F$105,MATCH(A37,'怪物总表'!$A$6:$A$105,0))),"已达门槛","未达门槛"),"输入无效")</x:f>
        <x:v>未达门槛</x:v>
      </x:c>
      <x:c r="D37" s="14" t="str">
        <x:f>INDEX('怪物总表'!$C$6:$C$105,MATCH(A37,'怪物总表'!$A$6:$A$105,0))</x:f>
        <x:v>普通</x:v>
      </x:c>
      <x:c r="E37" s="24" t="n">
        <x:f>IF($B$6="有效",ROUND(INDEX('怪物总表'!$G$6:$G$105,MATCH(A37,'怪物总表'!$A$6:$A$105,0))*$B$5*$H$5*IF(D37="精英",$B$125,1),0),"输入无效")</x:f>
        <x:v>45</x:v>
      </x:c>
      <x:c r="F37" s="24" t="n">
        <x:f>IF($B$6="有效",ROUND(INDEX('怪物总表'!$H$6:$H$105,MATCH(A37,'怪物总表'!$A$6:$A$105,0))*$E$5*$K$5*IF(D37="精英",$B$126,1),0),"输入无效")</x:f>
        <x:v>7</x:v>
      </x:c>
      <x:c r="G37" s="24" t="n">
        <x:f>IF($B$6="有效",ROUND(F37*INDEX('怪物总表'!$K$6:$K$105,MATCH(A37,'怪物总表'!$A$6:$A$105,0)),0),"输入无效")</x:f>
        <x:v>7</x:v>
      </x:c>
      <x:c r="H37" s="24" t="n">
        <x:f>IF($B$6="有效",ROUND(INDEX('怪物总表'!$I$6:$I$105,MATCH(A37,'怪物总表'!$A$6:$A$105,0))*$B$5,0),"输入无效")</x:f>
        <x:v>0</x:v>
      </x:c>
      <x:c r="I37" s="24" t="n">
        <x:f>IF($B$6="有效",ROUND(INDEX('怪物总表'!$J$6:$J$105,MATCH(A37,'怪物总表'!$A$6:$A$105,0))*$B$5,0),"输入无效")</x:f>
        <x:v>0</x:v>
      </x:c>
      <x:c r="J37" s="28" t="n">
        <x:f>INDEX('怪物总表'!$L$6:$L$105,MATCH(A37,'怪物总表'!$A$6:$A$105,0))*IF(D37="精英",$B$127,1)</x:f>
        <x:v>3</x:v>
      </x:c>
      <x:c r="K37" s="24" t="n">
        <x:f>1+INDEX('怪物总表'!$M$6:$M$105,MATCH(A37,'怪物总表'!$A$6:$A$105,0))</x:f>
        <x:v>1</x:v>
      </x:c>
      <x:c r="L37" s="24" t="n">
        <x:f>ROUND(INDEX('怪物总表'!$G$6:$G$105,MATCH(A37,'怪物总表'!$A$6:$A$105,0))*IF(INDEX('怪物总表'!$E$6:$E$105,MATCH(A37,'怪物总表'!$A$6:$A$105,0))=1,$B$128,$B$120*POWER($B$123,(INDEX('怪物总表'!$E$6:$E$105,MATCH(A37,'怪物总表'!$A$6:$A$105,0))-2)/$B$122))*IF(D37="精英",$B$125,1),0)</x:f>
        <x:v>78</x:v>
      </x:c>
    </x:row>
    <x:row r="38" ht="31.5" customHeight="1">
      <x:c r="A38" s="16" t="str">
        <x:v>MON_N030</x:v>
      </x:c>
      <x:c r="B38" s="16" t="str">
        <x:f>INDEX('怪物总表'!$B$6:$B$105,MATCH(A38,'怪物总表'!$A$6:$A$105,0))</x:f>
        <x:v>行迹裂虫</x:v>
      </x:c>
      <x:c r="C38" s="16" t="str">
        <x:f>IF($B$6="有效",IF(AND($B$4&gt;=INDEX('怪物总表'!$E$6:$E$105,MATCH(A38,'怪物总表'!$A$6:$A$105,0)),$E$4&gt;=INDEX('怪物总表'!$F$6:$F$105,MATCH(A38,'怪物总表'!$A$6:$A$105,0))),"已达门槛","未达门槛"),"输入无效")</x:f>
        <x:v>未达门槛</x:v>
      </x:c>
      <x:c r="D38" s="16" t="str">
        <x:f>INDEX('怪物总表'!$C$6:$C$105,MATCH(A38,'怪物总表'!$A$6:$A$105,0))</x:f>
        <x:v>普通</x:v>
      </x:c>
      <x:c r="E38" s="23" t="n">
        <x:f>IF($B$6="有效",ROUND(INDEX('怪物总表'!$G$6:$G$105,MATCH(A38,'怪物总表'!$A$6:$A$105,0))*$B$5*$H$5*IF(D38="精英",$B$125,1),0),"输入无效")</x:f>
        <x:v>50</x:v>
      </x:c>
      <x:c r="F38" s="23" t="n">
        <x:f>IF($B$6="有效",ROUND(INDEX('怪物总表'!$H$6:$H$105,MATCH(A38,'怪物总表'!$A$6:$A$105,0))*$E$5*$K$5*IF(D38="精英",$B$126,1),0),"输入无效")</x:f>
        <x:v>7</x:v>
      </x:c>
      <x:c r="G38" s="23" t="n">
        <x:f>IF($B$6="有效",ROUND(F38*INDEX('怪物总表'!$K$6:$K$105,MATCH(A38,'怪物总表'!$A$6:$A$105,0)),0),"输入无效")</x:f>
        <x:v>7</x:v>
      </x:c>
      <x:c r="H38" s="23" t="n">
        <x:f>IF($B$6="有效",ROUND(INDEX('怪物总表'!$I$6:$I$105,MATCH(A38,'怪物总表'!$A$6:$A$105,0))*$B$5,0),"输入无效")</x:f>
        <x:v>0</x:v>
      </x:c>
      <x:c r="I38" s="23" t="n">
        <x:f>IF($B$6="有效",ROUND(INDEX('怪物总表'!$J$6:$J$105,MATCH(A38,'怪物总表'!$A$6:$A$105,0))*$B$5,0),"输入无效")</x:f>
        <x:v>0</x:v>
      </x:c>
      <x:c r="J38" s="27" t="n">
        <x:f>INDEX('怪物总表'!$L$6:$L$105,MATCH(A38,'怪物总表'!$A$6:$A$105,0))*IF(D38="精英",$B$127,1)</x:f>
        <x:v>3.5</x:v>
      </x:c>
      <x:c r="K38" s="23" t="n">
        <x:f>1+INDEX('怪物总表'!$M$6:$M$105,MATCH(A38,'怪物总表'!$A$6:$A$105,0))</x:f>
        <x:v>1</x:v>
      </x:c>
      <x:c r="L38" s="23" t="n">
        <x:f>ROUND(INDEX('怪物总表'!$G$6:$G$105,MATCH(A38,'怪物总表'!$A$6:$A$105,0))*IF(INDEX('怪物总表'!$E$6:$E$105,MATCH(A38,'怪物总表'!$A$6:$A$105,0))=1,$B$128,$B$120*POWER($B$123,(INDEX('怪物总表'!$E$6:$E$105,MATCH(A38,'怪物总表'!$A$6:$A$105,0))-2)/$B$122))*IF(D38="精英",$B$125,1),0)</x:f>
        <x:v>94</x:v>
      </x:c>
    </x:row>
    <x:row r="39" ht="31.5" customHeight="1">
      <x:c r="A39" s="14" t="str">
        <x:v>MON_N031</x:v>
      </x:c>
      <x:c r="B39" s="14" t="str">
        <x:f>INDEX('怪物总表'!$B$6:$B$105,MATCH(A39,'怪物总表'!$A$6:$A$105,0))</x:f>
        <x:v>层震囊体</x:v>
      </x:c>
      <x:c r="C39" s="14" t="str">
        <x:f>IF($B$6="有效",IF(AND($B$4&gt;=INDEX('怪物总表'!$E$6:$E$105,MATCH(A39,'怪物总表'!$A$6:$A$105,0)),$E$4&gt;=INDEX('怪物总表'!$F$6:$F$105,MATCH(A39,'怪物总表'!$A$6:$A$105,0))),"已达门槛","未达门槛"),"输入无效")</x:f>
        <x:v>未达门槛</x:v>
      </x:c>
      <x:c r="D39" s="14" t="str">
        <x:f>INDEX('怪物总表'!$C$6:$C$105,MATCH(A39,'怪物总表'!$A$6:$A$105,0))</x:f>
        <x:v>普通</x:v>
      </x:c>
      <x:c r="E39" s="24" t="n">
        <x:f>IF($B$6="有效",ROUND(INDEX('怪物总表'!$G$6:$G$105,MATCH(A39,'怪物总表'!$A$6:$A$105,0))*$B$5*$H$5*IF(D39="精英",$B$125,1),0),"输入无效")</x:f>
        <x:v>60</x:v>
      </x:c>
      <x:c r="F39" s="24" t="n">
        <x:f>IF($B$6="有效",ROUND(INDEX('怪物总表'!$H$6:$H$105,MATCH(A39,'怪物总表'!$A$6:$A$105,0))*$E$5*$K$5*IF(D39="精英",$B$126,1),0),"输入无效")</x:f>
        <x:v>7</x:v>
      </x:c>
      <x:c r="G39" s="24" t="n">
        <x:f>IF($B$6="有效",ROUND(F39*INDEX('怪物总表'!$K$6:$K$105,MATCH(A39,'怪物总表'!$A$6:$A$105,0)),0),"输入无效")</x:f>
        <x:v>7</x:v>
      </x:c>
      <x:c r="H39" s="24" t="n">
        <x:f>IF($B$6="有效",ROUND(INDEX('怪物总表'!$I$6:$I$105,MATCH(A39,'怪物总表'!$A$6:$A$105,0))*$B$5,0),"输入无效")</x:f>
        <x:v>0</x:v>
      </x:c>
      <x:c r="I39" s="24" t="n">
        <x:f>IF($B$6="有效",ROUND(INDEX('怪物总表'!$J$6:$J$105,MATCH(A39,'怪物总表'!$A$6:$A$105,0))*$B$5,0),"输入无效")</x:f>
        <x:v>0</x:v>
      </x:c>
      <x:c r="J39" s="28" t="n">
        <x:f>INDEX('怪物总表'!$L$6:$L$105,MATCH(A39,'怪物总表'!$A$6:$A$105,0))*IF(D39="精英",$B$127,1)</x:f>
        <x:v>4</x:v>
      </x:c>
      <x:c r="K39" s="24" t="n">
        <x:f>1+INDEX('怪物总表'!$M$6:$M$105,MATCH(A39,'怪物总表'!$A$6:$A$105,0))</x:f>
        <x:v>1</x:v>
      </x:c>
      <x:c r="L39" s="24" t="n">
        <x:f>ROUND(INDEX('怪物总表'!$G$6:$G$105,MATCH(A39,'怪物总表'!$A$6:$A$105,0))*IF(INDEX('怪物总表'!$E$6:$E$105,MATCH(A39,'怪物总表'!$A$6:$A$105,0))=1,$B$128,$B$120*POWER($B$123,(INDEX('怪物总表'!$E$6:$E$105,MATCH(A39,'怪物总表'!$A$6:$A$105,0))-2)/$B$122))*IF(D39="精英",$B$125,1),0)</x:f>
        <x:v>125</x:v>
      </x:c>
    </x:row>
    <x:row r="40" ht="31.5" customHeight="1">
      <x:c r="A40" s="16" t="str">
        <x:v>MON_N032</x:v>
      </x:c>
      <x:c r="B40" s="16" t="str">
        <x:f>INDEX('怪物总表'!$B$6:$B$105,MATCH(A40,'怪物总表'!$A$6:$A$105,0))</x:f>
        <x:v>断纹祭壶</x:v>
      </x:c>
      <x:c r="C40" s="16" t="str">
        <x:f>IF($B$6="有效",IF(AND($B$4&gt;=INDEX('怪物总表'!$E$6:$E$105,MATCH(A40,'怪物总表'!$A$6:$A$105,0)),$E$4&gt;=INDEX('怪物总表'!$F$6:$F$105,MATCH(A40,'怪物总表'!$A$6:$A$105,0))),"已达门槛","未达门槛"),"输入无效")</x:f>
        <x:v>未达门槛</x:v>
      </x:c>
      <x:c r="D40" s="16" t="str">
        <x:f>INDEX('怪物总表'!$C$6:$C$105,MATCH(A40,'怪物总表'!$A$6:$A$105,0))</x:f>
        <x:v>普通</x:v>
      </x:c>
      <x:c r="E40" s="23" t="n">
        <x:f>IF($B$6="有效",ROUND(INDEX('怪物总表'!$G$6:$G$105,MATCH(A40,'怪物总表'!$A$6:$A$105,0))*$B$5*$H$5*IF(D40="精英",$B$125,1),0),"输入无效")</x:f>
        <x:v>60</x:v>
      </x:c>
      <x:c r="F40" s="23" t="n">
        <x:f>IF($B$6="有效",ROUND(INDEX('怪物总表'!$H$6:$H$105,MATCH(A40,'怪物总表'!$A$6:$A$105,0))*$E$5*$K$5*IF(D40="精英",$B$126,1),0),"输入无效")</x:f>
        <x:v>6</x:v>
      </x:c>
      <x:c r="G40" s="23" t="n">
        <x:f>IF($B$6="有效",ROUND(F40*INDEX('怪物总表'!$K$6:$K$105,MATCH(A40,'怪物总表'!$A$6:$A$105,0)),0),"输入无效")</x:f>
        <x:v>6</x:v>
      </x:c>
      <x:c r="H40" s="23" t="n">
        <x:f>IF($B$6="有效",ROUND(INDEX('怪物总表'!$I$6:$I$105,MATCH(A40,'怪物总表'!$A$6:$A$105,0))*$B$5,0),"输入无效")</x:f>
        <x:v>0</x:v>
      </x:c>
      <x:c r="I40" s="23" t="n">
        <x:f>IF($B$6="有效",ROUND(INDEX('怪物总表'!$J$6:$J$105,MATCH(A40,'怪物总表'!$A$6:$A$105,0))*$B$5,0),"输入无效")</x:f>
        <x:v>0</x:v>
      </x:c>
      <x:c r="J40" s="27" t="n">
        <x:f>INDEX('怪物总表'!$L$6:$L$105,MATCH(A40,'怪物总表'!$A$6:$A$105,0))*IF(D40="精英",$B$127,1)</x:f>
        <x:v>4</x:v>
      </x:c>
      <x:c r="K40" s="23" t="n">
        <x:f>1+INDEX('怪物总表'!$M$6:$M$105,MATCH(A40,'怪物总表'!$A$6:$A$105,0))</x:f>
        <x:v>1</x:v>
      </x:c>
      <x:c r="L40" s="23" t="n">
        <x:f>ROUND(INDEX('怪物总表'!$G$6:$G$105,MATCH(A40,'怪物总表'!$A$6:$A$105,0))*IF(INDEX('怪物总表'!$E$6:$E$105,MATCH(A40,'怪物总表'!$A$6:$A$105,0))=1,$B$128,$B$120*POWER($B$123,(INDEX('怪物总表'!$E$6:$E$105,MATCH(A40,'怪物总表'!$A$6:$A$105,0))-2)/$B$122))*IF(D40="精英",$B$125,1),0)</x:f>
        <x:v>140</x:v>
      </x:c>
    </x:row>
    <x:row r="41" ht="31.5" customHeight="1">
      <x:c r="A41" s="14" t="str">
        <x:v>MON_N033</x:v>
      </x:c>
      <x:c r="B41" s="14" t="str">
        <x:f>INDEX('怪物总表'!$B$6:$B$105,MATCH(A41,'怪物总表'!$A$6:$A$105,0))</x:f>
        <x:v>楔面盾卒</x:v>
      </x:c>
      <x:c r="C41" s="14" t="str">
        <x:f>IF($B$6="有效",IF(AND($B$4&gt;=INDEX('怪物总表'!$E$6:$E$105,MATCH(A41,'怪物总表'!$A$6:$A$105,0)),$E$4&gt;=INDEX('怪物总表'!$F$6:$F$105,MATCH(A41,'怪物总表'!$A$6:$A$105,0))),"已达门槛","未达门槛"),"输入无效")</x:f>
        <x:v>未达门槛</x:v>
      </x:c>
      <x:c r="D41" s="14" t="str">
        <x:f>INDEX('怪物总表'!$C$6:$C$105,MATCH(A41,'怪物总表'!$A$6:$A$105,0))</x:f>
        <x:v>普通</x:v>
      </x:c>
      <x:c r="E41" s="24" t="n">
        <x:f>IF($B$6="有效",ROUND(INDEX('怪物总表'!$G$6:$G$105,MATCH(A41,'怪物总表'!$A$6:$A$105,0))*$B$5*$H$5*IF(D41="精英",$B$125,1),0),"输入无效")</x:f>
        <x:v>65</x:v>
      </x:c>
      <x:c r="F41" s="24" t="n">
        <x:f>IF($B$6="有效",ROUND(INDEX('怪物总表'!$H$6:$H$105,MATCH(A41,'怪物总表'!$A$6:$A$105,0))*$E$5*$K$5*IF(D41="精英",$B$126,1),0),"输入无效")</x:f>
        <x:v>6</x:v>
      </x:c>
      <x:c r="G41" s="24" t="n">
        <x:f>IF($B$6="有效",ROUND(F41*INDEX('怪物总表'!$K$6:$K$105,MATCH(A41,'怪物总表'!$A$6:$A$105,0)),0),"输入无效")</x:f>
        <x:v>6</x:v>
      </x:c>
      <x:c r="H41" s="24" t="n">
        <x:f>IF($B$6="有效",ROUND(INDEX('怪物总表'!$I$6:$I$105,MATCH(A41,'怪物总表'!$A$6:$A$105,0))*$B$5,0),"输入无效")</x:f>
        <x:v>0</x:v>
      </x:c>
      <x:c r="I41" s="24" t="n">
        <x:f>IF($B$6="有效",ROUND(INDEX('怪物总表'!$J$6:$J$105,MATCH(A41,'怪物总表'!$A$6:$A$105,0))*$B$5,0),"输入无效")</x:f>
        <x:v>0</x:v>
      </x:c>
      <x:c r="J41" s="28" t="n">
        <x:f>INDEX('怪物总表'!$L$6:$L$105,MATCH(A41,'怪物总表'!$A$6:$A$105,0))*IF(D41="精英",$B$127,1)</x:f>
        <x:v>3</x:v>
      </x:c>
      <x:c r="K41" s="24" t="n">
        <x:f>1+INDEX('怪物总表'!$M$6:$M$105,MATCH(A41,'怪物总表'!$A$6:$A$105,0))</x:f>
        <x:v>1</x:v>
      </x:c>
      <x:c r="L41" s="24" t="n">
        <x:f>ROUND(INDEX('怪物总表'!$G$6:$G$105,MATCH(A41,'怪物总表'!$A$6:$A$105,0))*IF(INDEX('怪物总表'!$E$6:$E$105,MATCH(A41,'怪物总表'!$A$6:$A$105,0))=1,$B$128,$B$120*POWER($B$123,(INDEX('怪物总表'!$E$6:$E$105,MATCH(A41,'怪物总表'!$A$6:$A$105,0))-2)/$B$122))*IF(D41="精英",$B$125,1),0)</x:f>
        <x:v>98</x:v>
      </x:c>
    </x:row>
    <x:row r="42" ht="31.5" customHeight="1">
      <x:c r="A42" s="16" t="str">
        <x:v>MON_N034</x:v>
      </x:c>
      <x:c r="B42" s="16" t="str">
        <x:f>INDEX('怪物总表'!$B$6:$B$105,MATCH(A42,'怪物总表'!$A$6:$A$105,0))</x:f>
        <x:v>横步盾卒</x:v>
      </x:c>
      <x:c r="C42" s="16" t="str">
        <x:f>IF($B$6="有效",IF(AND($B$4&gt;=INDEX('怪物总表'!$E$6:$E$105,MATCH(A42,'怪物总表'!$A$6:$A$105,0)),$E$4&gt;=INDEX('怪物总表'!$F$6:$F$105,MATCH(A42,'怪物总表'!$A$6:$A$105,0))),"已达门槛","未达门槛"),"输入无效")</x:f>
        <x:v>未达门槛</x:v>
      </x:c>
      <x:c r="D42" s="16" t="str">
        <x:f>INDEX('怪物总表'!$C$6:$C$105,MATCH(A42,'怪物总表'!$A$6:$A$105,0))</x:f>
        <x:v>普通</x:v>
      </x:c>
      <x:c r="E42" s="23" t="n">
        <x:f>IF($B$6="有效",ROUND(INDEX('怪物总表'!$G$6:$G$105,MATCH(A42,'怪物总表'!$A$6:$A$105,0))*$B$5*$H$5*IF(D42="精英",$B$125,1),0),"输入无效")</x:f>
        <x:v>65</x:v>
      </x:c>
      <x:c r="F42" s="23" t="n">
        <x:f>IF($B$6="有效",ROUND(INDEX('怪物总表'!$H$6:$H$105,MATCH(A42,'怪物总表'!$A$6:$A$105,0))*$E$5*$K$5*IF(D42="精英",$B$126,1),0),"输入无效")</x:f>
        <x:v>6</x:v>
      </x:c>
      <x:c r="G42" s="23" t="n">
        <x:f>IF($B$6="有效",ROUND(F42*INDEX('怪物总表'!$K$6:$K$105,MATCH(A42,'怪物总表'!$A$6:$A$105,0)),0),"输入无效")</x:f>
        <x:v>6</x:v>
      </x:c>
      <x:c r="H42" s="23" t="n">
        <x:f>IF($B$6="有效",ROUND(INDEX('怪物总表'!$I$6:$I$105,MATCH(A42,'怪物总表'!$A$6:$A$105,0))*$B$5,0),"输入无效")</x:f>
        <x:v>0</x:v>
      </x:c>
      <x:c r="I42" s="23" t="n">
        <x:f>IF($B$6="有效",ROUND(INDEX('怪物总表'!$J$6:$J$105,MATCH(A42,'怪物总表'!$A$6:$A$105,0))*$B$5,0),"输入无效")</x:f>
        <x:v>0</x:v>
      </x:c>
      <x:c r="J42" s="27" t="n">
        <x:f>INDEX('怪物总表'!$L$6:$L$105,MATCH(A42,'怪物总表'!$A$6:$A$105,0))*IF(D42="精英",$B$127,1)</x:f>
        <x:v>3</x:v>
      </x:c>
      <x:c r="K42" s="23" t="n">
        <x:f>1+INDEX('怪物总表'!$M$6:$M$105,MATCH(A42,'怪物总表'!$A$6:$A$105,0))</x:f>
        <x:v>1</x:v>
      </x:c>
      <x:c r="L42" s="23" t="n">
        <x:f>ROUND(INDEX('怪物总表'!$G$6:$G$105,MATCH(A42,'怪物总表'!$A$6:$A$105,0))*IF(INDEX('怪物总表'!$E$6:$E$105,MATCH(A42,'怪物总表'!$A$6:$A$105,0))=1,$B$128,$B$120*POWER($B$123,(INDEX('怪物总表'!$E$6:$E$105,MATCH(A42,'怪物总表'!$A$6:$A$105,0))-2)/$B$122))*IF(D42="精英",$B$125,1),0)</x:f>
        <x:v>105</x:v>
      </x:c>
    </x:row>
    <x:row r="43" ht="31.5" customHeight="1">
      <x:c r="A43" s="14" t="str">
        <x:v>MON_N035</x:v>
      </x:c>
      <x:c r="B43" s="14" t="str">
        <x:f>INDEX('怪物总表'!$B$6:$B$105,MATCH(A43,'怪物总表'!$A$6:$A$105,0))</x:f>
        <x:v>折盾突卫</x:v>
      </x:c>
      <x:c r="C43" s="14" t="str">
        <x:f>IF($B$6="有效",IF(AND($B$4&gt;=INDEX('怪物总表'!$E$6:$E$105,MATCH(A43,'怪物总表'!$A$6:$A$105,0)),$E$4&gt;=INDEX('怪物总表'!$F$6:$F$105,MATCH(A43,'怪物总表'!$A$6:$A$105,0))),"已达门槛","未达门槛"),"输入无效")</x:f>
        <x:v>未达门槛</x:v>
      </x:c>
      <x:c r="D43" s="14" t="str">
        <x:f>INDEX('怪物总表'!$C$6:$C$105,MATCH(A43,'怪物总表'!$A$6:$A$105,0))</x:f>
        <x:v>普通</x:v>
      </x:c>
      <x:c r="E43" s="24" t="n">
        <x:f>IF($B$6="有效",ROUND(INDEX('怪物总表'!$G$6:$G$105,MATCH(A43,'怪物总表'!$A$6:$A$105,0))*$B$5*$H$5*IF(D43="精英",$B$125,1),0),"输入无效")</x:f>
        <x:v>70</x:v>
      </x:c>
      <x:c r="F43" s="24" t="n">
        <x:f>IF($B$6="有效",ROUND(INDEX('怪物总表'!$H$6:$H$105,MATCH(A43,'怪物总表'!$A$6:$A$105,0))*$E$5*$K$5*IF(D43="精英",$B$126,1),0),"输入无效")</x:f>
        <x:v>6</x:v>
      </x:c>
      <x:c r="G43" s="24" t="n">
        <x:f>IF($B$6="有效",ROUND(F43*INDEX('怪物总表'!$K$6:$K$105,MATCH(A43,'怪物总表'!$A$6:$A$105,0)),0),"输入无效")</x:f>
        <x:v>6</x:v>
      </x:c>
      <x:c r="H43" s="24" t="n">
        <x:f>IF($B$6="有效",ROUND(INDEX('怪物总表'!$I$6:$I$105,MATCH(A43,'怪物总表'!$A$6:$A$105,0))*$B$5,0),"输入无效")</x:f>
        <x:v>0</x:v>
      </x:c>
      <x:c r="I43" s="24" t="n">
        <x:f>IF($B$6="有效",ROUND(INDEX('怪物总表'!$J$6:$J$105,MATCH(A43,'怪物总表'!$A$6:$A$105,0))*$B$5,0),"输入无效")</x:f>
        <x:v>0</x:v>
      </x:c>
      <x:c r="J43" s="28" t="n">
        <x:f>INDEX('怪物总表'!$L$6:$L$105,MATCH(A43,'怪物总表'!$A$6:$A$105,0))*IF(D43="精英",$B$127,1)</x:f>
        <x:v>3</x:v>
      </x:c>
      <x:c r="K43" s="24" t="n">
        <x:f>1+INDEX('怪物总表'!$M$6:$M$105,MATCH(A43,'怪物总表'!$A$6:$A$105,0))</x:f>
        <x:v>1</x:v>
      </x:c>
      <x:c r="L43" s="24" t="n">
        <x:f>ROUND(INDEX('怪物总表'!$G$6:$G$105,MATCH(A43,'怪物总表'!$A$6:$A$105,0))*IF(INDEX('怪物总表'!$E$6:$E$105,MATCH(A43,'怪物总表'!$A$6:$A$105,0))=1,$B$128,$B$120*POWER($B$123,(INDEX('怪物总表'!$E$6:$E$105,MATCH(A43,'怪物总表'!$A$6:$A$105,0))-2)/$B$122))*IF(D43="精英",$B$125,1),0)</x:f>
        <x:v>126</x:v>
      </x:c>
    </x:row>
    <x:row r="44" ht="31.5" customHeight="1">
      <x:c r="A44" s="16" t="str">
        <x:v>MON_N036</x:v>
      </x:c>
      <x:c r="B44" s="16" t="str">
        <x:f>INDEX('怪物总表'!$B$6:$B$105,MATCH(A44,'怪物总表'!$A$6:$A$105,0))</x:f>
        <x:v>侧盾夹卫</x:v>
      </x:c>
      <x:c r="C44" s="16" t="str">
        <x:f>IF($B$6="有效",IF(AND($B$4&gt;=INDEX('怪物总表'!$E$6:$E$105,MATCH(A44,'怪物总表'!$A$6:$A$105,0)),$E$4&gt;=INDEX('怪物总表'!$F$6:$F$105,MATCH(A44,'怪物总表'!$A$6:$A$105,0))),"已达门槛","未达门槛"),"输入无效")</x:f>
        <x:v>未达门槛</x:v>
      </x:c>
      <x:c r="D44" s="16" t="str">
        <x:f>INDEX('怪物总表'!$C$6:$C$105,MATCH(A44,'怪物总表'!$A$6:$A$105,0))</x:f>
        <x:v>普通</x:v>
      </x:c>
      <x:c r="E44" s="23" t="n">
        <x:f>IF($B$6="有效",ROUND(INDEX('怪物总表'!$G$6:$G$105,MATCH(A44,'怪物总表'!$A$6:$A$105,0))*$B$5*$H$5*IF(D44="精英",$B$125,1),0),"输入无效")</x:f>
        <x:v>60</x:v>
      </x:c>
      <x:c r="F44" s="23" t="n">
        <x:f>IF($B$6="有效",ROUND(INDEX('怪物总表'!$H$6:$H$105,MATCH(A44,'怪物总表'!$A$6:$A$105,0))*$E$5*$K$5*IF(D44="精英",$B$126,1),0),"输入无效")</x:f>
        <x:v>7</x:v>
      </x:c>
      <x:c r="G44" s="23" t="n">
        <x:f>IF($B$6="有效",ROUND(F44*INDEX('怪物总表'!$K$6:$K$105,MATCH(A44,'怪物总表'!$A$6:$A$105,0)),0),"输入无效")</x:f>
        <x:v>7</x:v>
      </x:c>
      <x:c r="H44" s="23" t="n">
        <x:f>IF($B$6="有效",ROUND(INDEX('怪物总表'!$I$6:$I$105,MATCH(A44,'怪物总表'!$A$6:$A$105,0))*$B$5,0),"输入无效")</x:f>
        <x:v>0</x:v>
      </x:c>
      <x:c r="I44" s="23" t="n">
        <x:f>IF($B$6="有效",ROUND(INDEX('怪物总表'!$J$6:$J$105,MATCH(A44,'怪物总表'!$A$6:$A$105,0))*$B$5,0),"输入无效")</x:f>
        <x:v>0</x:v>
      </x:c>
      <x:c r="J44" s="27" t="n">
        <x:f>INDEX('怪物总表'!$L$6:$L$105,MATCH(A44,'怪物总表'!$A$6:$A$105,0))*IF(D44="精英",$B$127,1)</x:f>
        <x:v>3.5</x:v>
      </x:c>
      <x:c r="K44" s="23" t="n">
        <x:f>1+INDEX('怪物总表'!$M$6:$M$105,MATCH(A44,'怪物总表'!$A$6:$A$105,0))</x:f>
        <x:v>1</x:v>
      </x:c>
      <x:c r="L44" s="23" t="n">
        <x:f>ROUND(INDEX('怪物总表'!$G$6:$G$105,MATCH(A44,'怪物总表'!$A$6:$A$105,0))*IF(INDEX('怪物总表'!$E$6:$E$105,MATCH(A44,'怪物总表'!$A$6:$A$105,0))=1,$B$128,$B$120*POWER($B$123,(INDEX('怪物总表'!$E$6:$E$105,MATCH(A44,'怪物总表'!$A$6:$A$105,0))-2)/$B$122))*IF(D44="精英",$B$125,1),0)</x:f>
        <x:v>121</x:v>
      </x:c>
    </x:row>
    <x:row r="45" ht="31.5" customHeight="1">
      <x:c r="A45" s="14" t="str">
        <x:v>MON_N037</x:v>
      </x:c>
      <x:c r="B45" s="14" t="str">
        <x:f>INDEX('怪物总表'!$B$6:$B$105,MATCH(A45,'怪物总表'!$A$6:$A$105,0))</x:f>
        <x:v>开合螺卫</x:v>
      </x:c>
      <x:c r="C45" s="14" t="str">
        <x:f>IF($B$6="有效",IF(AND($B$4&gt;=INDEX('怪物总表'!$E$6:$E$105,MATCH(A45,'怪物总表'!$A$6:$A$105,0)),$E$4&gt;=INDEX('怪物总表'!$F$6:$F$105,MATCH(A45,'怪物总表'!$A$6:$A$105,0))),"已达门槛","未达门槛"),"输入无效")</x:f>
        <x:v>未达门槛</x:v>
      </x:c>
      <x:c r="D45" s="14" t="str">
        <x:f>INDEX('怪物总表'!$C$6:$C$105,MATCH(A45,'怪物总表'!$A$6:$A$105,0))</x:f>
        <x:v>普通</x:v>
      </x:c>
      <x:c r="E45" s="24" t="n">
        <x:f>IF($B$6="有效",ROUND(INDEX('怪物总表'!$G$6:$G$105,MATCH(A45,'怪物总表'!$A$6:$A$105,0))*$B$5*$H$5*IF(D45="精英",$B$125,1),0),"输入无效")</x:f>
        <x:v>80</x:v>
      </x:c>
      <x:c r="F45" s="24" t="n">
        <x:f>IF($B$6="有效",ROUND(INDEX('怪物总表'!$H$6:$H$105,MATCH(A45,'怪物总表'!$A$6:$A$105,0))*$E$5*$K$5*IF(D45="精英",$B$126,1),0),"输入无效")</x:f>
        <x:v>7</x:v>
      </x:c>
      <x:c r="G45" s="24" t="n">
        <x:f>IF($B$6="有效",ROUND(F45*INDEX('怪物总表'!$K$6:$K$105,MATCH(A45,'怪物总表'!$A$6:$A$105,0)),0),"输入无效")</x:f>
        <x:v>7</x:v>
      </x:c>
      <x:c r="H45" s="24" t="n">
        <x:f>IF($B$6="有效",ROUND(INDEX('怪物总表'!$I$6:$I$105,MATCH(A45,'怪物总表'!$A$6:$A$105,0))*$B$5,0),"输入无效")</x:f>
        <x:v>0</x:v>
      </x:c>
      <x:c r="I45" s="24" t="n">
        <x:f>IF($B$6="有效",ROUND(INDEX('怪物总表'!$J$6:$J$105,MATCH(A45,'怪物总表'!$A$6:$A$105,0))*$B$5,0),"输入无效")</x:f>
        <x:v>0</x:v>
      </x:c>
      <x:c r="J45" s="28" t="n">
        <x:f>INDEX('怪物总表'!$L$6:$L$105,MATCH(A45,'怪物总表'!$A$6:$A$105,0))*IF(D45="精英",$B$127,1)</x:f>
        <x:v>3.5</x:v>
      </x:c>
      <x:c r="K45" s="24" t="n">
        <x:f>1+INDEX('怪物总表'!$M$6:$M$105,MATCH(A45,'怪物总表'!$A$6:$A$105,0))</x:f>
        <x:v>1</x:v>
      </x:c>
      <x:c r="L45" s="24" t="n">
        <x:f>ROUND(INDEX('怪物总表'!$G$6:$G$105,MATCH(A45,'怪物总表'!$A$6:$A$105,0))*IF(INDEX('怪物总表'!$E$6:$E$105,MATCH(A45,'怪物总表'!$A$6:$A$105,0))=1,$B$128,$B$120*POWER($B$123,(INDEX('怪物总表'!$E$6:$E$105,MATCH(A45,'怪物总表'!$A$6:$A$105,0))-2)/$B$122))*IF(D45="精英",$B$125,1),0)</x:f>
        <x:v>125</x:v>
      </x:c>
    </x:row>
    <x:row r="46" ht="31.5" customHeight="1">
      <x:c r="A46" s="16" t="str">
        <x:v>MON_N038</x:v>
      </x:c>
      <x:c r="B46" s="16" t="str">
        <x:f>INDEX('怪物总表'!$B$6:$B$105,MATCH(A46,'怪物总表'!$A$6:$A$105,0))</x:f>
        <x:v>聚壳晶螺</x:v>
      </x:c>
      <x:c r="C46" s="16" t="str">
        <x:f>IF($B$6="有效",IF(AND($B$4&gt;=INDEX('怪物总表'!$E$6:$E$105,MATCH(A46,'怪物总表'!$A$6:$A$105,0)),$E$4&gt;=INDEX('怪物总表'!$F$6:$F$105,MATCH(A46,'怪物总表'!$A$6:$A$105,0))),"已达门槛","未达门槛"),"输入无效")</x:f>
        <x:v>未达门槛</x:v>
      </x:c>
      <x:c r="D46" s="16" t="str">
        <x:f>INDEX('怪物总表'!$C$6:$C$105,MATCH(A46,'怪物总表'!$A$6:$A$105,0))</x:f>
        <x:v>普通</x:v>
      </x:c>
      <x:c r="E46" s="23" t="n">
        <x:f>IF($B$6="有效",ROUND(INDEX('怪物总表'!$G$6:$G$105,MATCH(A46,'怪物总表'!$A$6:$A$105,0))*$B$5*$H$5*IF(D46="精英",$B$125,1),0),"输入无效")</x:f>
        <x:v>60</x:v>
      </x:c>
      <x:c r="F46" s="23" t="n">
        <x:f>IF($B$6="有效",ROUND(INDEX('怪物总表'!$H$6:$H$105,MATCH(A46,'怪物总表'!$A$6:$A$105,0))*$E$5*$K$5*IF(D46="精英",$B$126,1),0),"输入无效")</x:f>
        <x:v>7</x:v>
      </x:c>
      <x:c r="G46" s="23" t="n">
        <x:f>IF($B$6="有效",ROUND(F46*INDEX('怪物总表'!$K$6:$K$105,MATCH(A46,'怪物总表'!$A$6:$A$105,0)),0),"输入无效")</x:f>
        <x:v>7</x:v>
      </x:c>
      <x:c r="H46" s="23" t="n">
        <x:f>IF($B$6="有效",ROUND(INDEX('怪物总表'!$I$6:$I$105,MATCH(A46,'怪物总表'!$A$6:$A$105,0))*$B$5,0),"输入无效")</x:f>
        <x:v>0</x:v>
      </x:c>
      <x:c r="I46" s="23" t="n">
        <x:f>IF($B$6="有效",ROUND(INDEX('怪物总表'!$J$6:$J$105,MATCH(A46,'怪物总表'!$A$6:$A$105,0))*$B$5,0),"输入无效")</x:f>
        <x:v>16</x:v>
      </x:c>
      <x:c r="J46" s="27" t="n">
        <x:f>INDEX('怪物总表'!$L$6:$L$105,MATCH(A46,'怪物总表'!$A$6:$A$105,0))*IF(D46="精英",$B$127,1)</x:f>
        <x:v>3.5</x:v>
      </x:c>
      <x:c r="K46" s="23" t="n">
        <x:f>1+INDEX('怪物总表'!$M$6:$M$105,MATCH(A46,'怪物总表'!$A$6:$A$105,0))</x:f>
        <x:v>1</x:v>
      </x:c>
      <x:c r="L46" s="23" t="n">
        <x:f>ROUND(INDEX('怪物总表'!$G$6:$G$105,MATCH(A46,'怪物总表'!$A$6:$A$105,0))*IF(INDEX('怪物总表'!$E$6:$E$105,MATCH(A46,'怪物总表'!$A$6:$A$105,0))=1,$B$128,$B$120*POWER($B$123,(INDEX('怪物总表'!$E$6:$E$105,MATCH(A46,'怪物总表'!$A$6:$A$105,0))-2)/$B$122))*IF(D46="精英",$B$125,1),0)</x:f>
        <x:v>101</x:v>
      </x:c>
    </x:row>
    <x:row r="47" ht="31.5" customHeight="1">
      <x:c r="A47" s="14" t="str">
        <x:v>MON_N039</x:v>
      </x:c>
      <x:c r="B47" s="14" t="str">
        <x:f>INDEX('怪物总表'!$B$6:$B$105,MATCH(A47,'怪物总表'!$A$6:$A$105,0))</x:f>
        <x:v>翻腹袭者</x:v>
      </x:c>
      <x:c r="C47" s="14" t="str">
        <x:f>IF($B$6="有效",IF(AND($B$4&gt;=INDEX('怪物总表'!$E$6:$E$105,MATCH(A47,'怪物总表'!$A$6:$A$105,0)),$E$4&gt;=INDEX('怪物总表'!$F$6:$F$105,MATCH(A47,'怪物总表'!$A$6:$A$105,0))),"已达门槛","未达门槛"),"输入无效")</x:f>
        <x:v>未达门槛</x:v>
      </x:c>
      <x:c r="D47" s="14" t="str">
        <x:f>INDEX('怪物总表'!$C$6:$C$105,MATCH(A47,'怪物总表'!$A$6:$A$105,0))</x:f>
        <x:v>普通</x:v>
      </x:c>
      <x:c r="E47" s="24" t="n">
        <x:f>IF($B$6="有效",ROUND(INDEX('怪物总表'!$G$6:$G$105,MATCH(A47,'怪物总表'!$A$6:$A$105,0))*$B$5*$H$5*IF(D47="精英",$B$125,1),0),"输入无效")</x:f>
        <x:v>52</x:v>
      </x:c>
      <x:c r="F47" s="24" t="n">
        <x:f>IF($B$6="有效",ROUND(INDEX('怪物总表'!$H$6:$H$105,MATCH(A47,'怪物总表'!$A$6:$A$105,0))*$E$5*$K$5*IF(D47="精英",$B$126,1),0),"输入无效")</x:f>
        <x:v>9</x:v>
      </x:c>
      <x:c r="G47" s="24" t="n">
        <x:f>IF($B$6="有效",ROUND(F47*INDEX('怪物总表'!$K$6:$K$105,MATCH(A47,'怪物总表'!$A$6:$A$105,0)),0),"输入无效")</x:f>
        <x:v>9</x:v>
      </x:c>
      <x:c r="H47" s="24" t="n">
        <x:f>IF($B$6="有效",ROUND(INDEX('怪物总表'!$I$6:$I$105,MATCH(A47,'怪物总表'!$A$6:$A$105,0))*$B$5,0),"输入无效")</x:f>
        <x:v>0</x:v>
      </x:c>
      <x:c r="I47" s="24" t="n">
        <x:f>IF($B$6="有效",ROUND(INDEX('怪物总表'!$J$6:$J$105,MATCH(A47,'怪物总表'!$A$6:$A$105,0))*$B$5,0),"输入无效")</x:f>
        <x:v>0</x:v>
      </x:c>
      <x:c r="J47" s="28" t="n">
        <x:f>INDEX('怪物总表'!$L$6:$L$105,MATCH(A47,'怪物总表'!$A$6:$A$105,0))*IF(D47="精英",$B$127,1)</x:f>
        <x:v>3</x:v>
      </x:c>
      <x:c r="K47" s="24" t="n">
        <x:f>1+INDEX('怪物总表'!$M$6:$M$105,MATCH(A47,'怪物总表'!$A$6:$A$105,0))</x:f>
        <x:v>1</x:v>
      </x:c>
      <x:c r="L47" s="24" t="n">
        <x:f>ROUND(INDEX('怪物总表'!$G$6:$G$105,MATCH(A47,'怪物总表'!$A$6:$A$105,0))*IF(INDEX('怪物总表'!$E$6:$E$105,MATCH(A47,'怪物总表'!$A$6:$A$105,0))=1,$B$128,$B$120*POWER($B$123,(INDEX('怪物总表'!$E$6:$E$105,MATCH(A47,'怪物总表'!$A$6:$A$105,0))-2)/$B$122))*IF(D47="精英",$B$125,1),0)</x:f>
        <x:v>97</x:v>
      </x:c>
    </x:row>
    <x:row r="48" ht="31.5" customHeight="1">
      <x:c r="A48" s="16" t="str">
        <x:v>MON_N040</x:v>
      </x:c>
      <x:c r="B48" s="16" t="str">
        <x:f>INDEX('怪物总表'!$B$6:$B$105,MATCH(A48,'怪物总表'!$A$6:$A$105,0))</x:f>
        <x:v>两面蛹卫</x:v>
      </x:c>
      <x:c r="C48" s="16" t="str">
        <x:f>IF($B$6="有效",IF(AND($B$4&gt;=INDEX('怪物总表'!$E$6:$E$105,MATCH(A48,'怪物总表'!$A$6:$A$105,0)),$E$4&gt;=INDEX('怪物总表'!$F$6:$F$105,MATCH(A48,'怪物总表'!$A$6:$A$105,0))),"已达门槛","未达门槛"),"输入无效")</x:f>
        <x:v>未达门槛</x:v>
      </x:c>
      <x:c r="D48" s="16" t="str">
        <x:f>INDEX('怪物总表'!$C$6:$C$105,MATCH(A48,'怪物总表'!$A$6:$A$105,0))</x:f>
        <x:v>普通</x:v>
      </x:c>
      <x:c r="E48" s="23" t="n">
        <x:f>IF($B$6="有效",ROUND(INDEX('怪物总表'!$G$6:$G$105,MATCH(A48,'怪物总表'!$A$6:$A$105,0))*$B$5*$H$5*IF(D48="精英",$B$125,1),0),"输入无效")</x:f>
        <x:v>75</x:v>
      </x:c>
      <x:c r="F48" s="23" t="n">
        <x:f>IF($B$6="有效",ROUND(INDEX('怪物总表'!$H$6:$H$105,MATCH(A48,'怪物总表'!$A$6:$A$105,0))*$E$5*$K$5*IF(D48="精英",$B$126,1),0),"输入无效")</x:f>
        <x:v>8</x:v>
      </x:c>
      <x:c r="G48" s="23" t="n">
        <x:f>IF($B$6="有效",ROUND(F48*INDEX('怪物总表'!$K$6:$K$105,MATCH(A48,'怪物总表'!$A$6:$A$105,0)),0),"输入无效")</x:f>
        <x:v>8</x:v>
      </x:c>
      <x:c r="H48" s="23" t="n">
        <x:f>IF($B$6="有效",ROUND(INDEX('怪物总表'!$I$6:$I$105,MATCH(A48,'怪物总表'!$A$6:$A$105,0))*$B$5,0),"输入无效")</x:f>
        <x:v>0</x:v>
      </x:c>
      <x:c r="I48" s="23" t="n">
        <x:f>IF($B$6="有效",ROUND(INDEX('怪物总表'!$J$6:$J$105,MATCH(A48,'怪物总表'!$A$6:$A$105,0))*$B$5,0),"输入无效")</x:f>
        <x:v>0</x:v>
      </x:c>
      <x:c r="J48" s="27" t="n">
        <x:f>INDEX('怪物总表'!$L$6:$L$105,MATCH(A48,'怪物总表'!$A$6:$A$105,0))*IF(D48="精英",$B$127,1)</x:f>
        <x:v>4</x:v>
      </x:c>
      <x:c r="K48" s="23" t="n">
        <x:f>1+INDEX('怪物总表'!$M$6:$M$105,MATCH(A48,'怪物总表'!$A$6:$A$105,0))</x:f>
        <x:v>1</x:v>
      </x:c>
      <x:c r="L48" s="23" t="n">
        <x:f>ROUND(INDEX('怪物总表'!$G$6:$G$105,MATCH(A48,'怪物总表'!$A$6:$A$105,0))*IF(INDEX('怪物总表'!$E$6:$E$105,MATCH(A48,'怪物总表'!$A$6:$A$105,0))=1,$B$128,$B$120*POWER($B$123,(INDEX('怪物总表'!$E$6:$E$105,MATCH(A48,'怪物总表'!$A$6:$A$105,0))-2)/$B$122))*IF(D48="精英",$B$125,1),0)</x:f>
        <x:v>157</x:v>
      </x:c>
    </x:row>
    <x:row r="49" ht="31.5" customHeight="1">
      <x:c r="A49" s="14" t="str">
        <x:v>MON_N041</x:v>
      </x:c>
      <x:c r="B49" s="14" t="str">
        <x:f>INDEX('怪物总表'!$B$6:$B$105,MATCH(A49,'怪物总表'!$A$6:$A$105,0))</x:f>
        <x:v>缝血水母</x:v>
      </x:c>
      <x:c r="C49" s="14" t="str">
        <x:f>IF($B$6="有效",IF(AND($B$4&gt;=INDEX('怪物总表'!$E$6:$E$105,MATCH(A49,'怪物总表'!$A$6:$A$105,0)),$E$4&gt;=INDEX('怪物总表'!$F$6:$F$105,MATCH(A49,'怪物总表'!$A$6:$A$105,0))),"已达门槛","未达门槛"),"输入无效")</x:f>
        <x:v>未达门槛</x:v>
      </x:c>
      <x:c r="D49" s="14" t="str">
        <x:f>INDEX('怪物总表'!$C$6:$C$105,MATCH(A49,'怪物总表'!$A$6:$A$105,0))</x:f>
        <x:v>普通</x:v>
      </x:c>
      <x:c r="E49" s="24" t="n">
        <x:f>IF($B$6="有效",ROUND(INDEX('怪物总表'!$G$6:$G$105,MATCH(A49,'怪物总表'!$A$6:$A$105,0))*$B$5*$H$5*IF(D49="精英",$B$125,1),0),"输入无效")</x:f>
        <x:v>42</x:v>
      </x:c>
      <x:c r="F49" s="24" t="n">
        <x:f>IF($B$6="有效",ROUND(INDEX('怪物总表'!$H$6:$H$105,MATCH(A49,'怪物总表'!$A$6:$A$105,0))*$E$5*$K$5*IF(D49="精英",$B$126,1),0),"输入无效")</x:f>
        <x:v>4</x:v>
      </x:c>
      <x:c r="G49" s="24" t="n">
        <x:f>IF($B$6="有效",ROUND(F49*INDEX('怪物总表'!$K$6:$K$105,MATCH(A49,'怪物总表'!$A$6:$A$105,0)),0),"输入无效")</x:f>
        <x:v>0</x:v>
      </x:c>
      <x:c r="H49" s="24" t="n">
        <x:f>IF($B$6="有效",ROUND(INDEX('怪物总表'!$I$6:$I$105,MATCH(A49,'怪物总表'!$A$6:$A$105,0))*$B$5,0),"输入无效")</x:f>
        <x:v>10</x:v>
      </x:c>
      <x:c r="I49" s="24" t="n">
        <x:f>IF($B$6="有效",ROUND(INDEX('怪物总表'!$J$6:$J$105,MATCH(A49,'怪物总表'!$A$6:$A$105,0))*$B$5,0),"输入无效")</x:f>
        <x:v>0</x:v>
      </x:c>
      <x:c r="J49" s="28" t="n">
        <x:f>INDEX('怪物总表'!$L$6:$L$105,MATCH(A49,'怪物总表'!$A$6:$A$105,0))*IF(D49="精英",$B$127,1)</x:f>
        <x:v>3</x:v>
      </x:c>
      <x:c r="K49" s="24" t="n">
        <x:f>1+INDEX('怪物总表'!$M$6:$M$105,MATCH(A49,'怪物总表'!$A$6:$A$105,0))</x:f>
        <x:v>1</x:v>
      </x:c>
      <x:c r="L49" s="24" t="n">
        <x:f>ROUND(INDEX('怪物总表'!$G$6:$G$105,MATCH(A49,'怪物总表'!$A$6:$A$105,0))*IF(INDEX('怪物总表'!$E$6:$E$105,MATCH(A49,'怪物总表'!$A$6:$A$105,0))=1,$B$128,$B$120*POWER($B$123,(INDEX('怪物总表'!$E$6:$E$105,MATCH(A49,'怪物总表'!$A$6:$A$105,0))-2)/$B$122))*IF(D49="精英",$B$125,1),0)</x:f>
        <x:v>63</x:v>
      </x:c>
    </x:row>
    <x:row r="50" ht="31.5" customHeight="1">
      <x:c r="A50" s="16" t="str">
        <x:v>MON_N042</x:v>
      </x:c>
      <x:c r="B50" s="16" t="str">
        <x:f>INDEX('怪物总表'!$B$6:$B$105,MATCH(A50,'怪物总表'!$A$6:$A$105,0))</x:f>
        <x:v>环缝水母</x:v>
      </x:c>
      <x:c r="C50" s="16" t="str">
        <x:f>IF($B$6="有效",IF(AND($B$4&gt;=INDEX('怪物总表'!$E$6:$E$105,MATCH(A50,'怪物总表'!$A$6:$A$105,0)),$E$4&gt;=INDEX('怪物总表'!$F$6:$F$105,MATCH(A50,'怪物总表'!$A$6:$A$105,0))),"已达门槛","未达门槛"),"输入无效")</x:f>
        <x:v>未达门槛</x:v>
      </x:c>
      <x:c r="D50" s="16" t="str">
        <x:f>INDEX('怪物总表'!$C$6:$C$105,MATCH(A50,'怪物总表'!$A$6:$A$105,0))</x:f>
        <x:v>普通</x:v>
      </x:c>
      <x:c r="E50" s="23" t="n">
        <x:f>IF($B$6="有效",ROUND(INDEX('怪物总表'!$G$6:$G$105,MATCH(A50,'怪物总表'!$A$6:$A$105,0))*$B$5*$H$5*IF(D50="精英",$B$125,1),0),"输入无效")</x:f>
        <x:v>38</x:v>
      </x:c>
      <x:c r="F50" s="23" t="n">
        <x:f>IF($B$6="有效",ROUND(INDEX('怪物总表'!$H$6:$H$105,MATCH(A50,'怪物总表'!$A$6:$A$105,0))*$E$5*$K$5*IF(D50="精英",$B$126,1),0),"输入无效")</x:f>
        <x:v>3</x:v>
      </x:c>
      <x:c r="G50" s="23" t="n">
        <x:f>IF($B$6="有效",ROUND(F50*INDEX('怪物总表'!$K$6:$K$105,MATCH(A50,'怪物总表'!$A$6:$A$105,0)),0),"输入无效")</x:f>
        <x:v>0</x:v>
      </x:c>
      <x:c r="H50" s="23" t="n">
        <x:f>IF($B$6="有效",ROUND(INDEX('怪物总表'!$I$6:$I$105,MATCH(A50,'怪物总表'!$A$6:$A$105,0))*$B$5,0),"输入无效")</x:f>
        <x:v>6</x:v>
      </x:c>
      <x:c r="I50" s="23" t="n">
        <x:f>IF($B$6="有效",ROUND(INDEX('怪物总表'!$J$6:$J$105,MATCH(A50,'怪物总表'!$A$6:$A$105,0))*$B$5,0),"输入无效")</x:f>
        <x:v>0</x:v>
      </x:c>
      <x:c r="J50" s="27" t="n">
        <x:f>INDEX('怪物总表'!$L$6:$L$105,MATCH(A50,'怪物总表'!$A$6:$A$105,0))*IF(D50="精英",$B$127,1)</x:f>
        <x:v>3.5</x:v>
      </x:c>
      <x:c r="K50" s="23" t="n">
        <x:f>1+INDEX('怪物总表'!$M$6:$M$105,MATCH(A50,'怪物总表'!$A$6:$A$105,0))</x:f>
        <x:v>1</x:v>
      </x:c>
      <x:c r="L50" s="23" t="n">
        <x:f>ROUND(INDEX('怪物总表'!$G$6:$G$105,MATCH(A50,'怪物总表'!$A$6:$A$105,0))*IF(INDEX('怪物总表'!$E$6:$E$105,MATCH(A50,'怪物总表'!$A$6:$A$105,0))=1,$B$128,$B$120*POWER($B$123,(INDEX('怪物总表'!$E$6:$E$105,MATCH(A50,'怪物总表'!$A$6:$A$105,0))-2)/$B$122))*IF(D50="精英",$B$125,1),0)</x:f>
        <x:v>61</x:v>
      </x:c>
    </x:row>
    <x:row r="51" ht="31.5" customHeight="1">
      <x:c r="A51" s="14" t="str">
        <x:v>MON_N043</x:v>
      </x:c>
      <x:c r="B51" s="14" t="str">
        <x:f>INDEX('怪物总表'!$B$6:$B$105,MATCH(A51,'怪物总表'!$A$6:$A$105,0))</x:f>
        <x:v>巡诊脑</x:v>
      </x:c>
      <x:c r="C51" s="14" t="str">
        <x:f>IF($B$6="有效",IF(AND($B$4&gt;=INDEX('怪物总表'!$E$6:$E$105,MATCH(A51,'怪物总表'!$A$6:$A$105,0)),$E$4&gt;=INDEX('怪物总表'!$F$6:$F$105,MATCH(A51,'怪物总表'!$A$6:$A$105,0))),"已达门槛","未达门槛"),"输入无效")</x:f>
        <x:v>未达门槛</x:v>
      </x:c>
      <x:c r="D51" s="14" t="str">
        <x:f>INDEX('怪物总表'!$C$6:$C$105,MATCH(A51,'怪物总表'!$A$6:$A$105,0))</x:f>
        <x:v>普通</x:v>
      </x:c>
      <x:c r="E51" s="24" t="n">
        <x:f>IF($B$6="有效",ROUND(INDEX('怪物总表'!$G$6:$G$105,MATCH(A51,'怪物总表'!$A$6:$A$105,0))*$B$5*$H$5*IF(D51="精英",$B$125,1),0),"输入无效")</x:f>
        <x:v>48</x:v>
      </x:c>
      <x:c r="F51" s="24" t="n">
        <x:f>IF($B$6="有效",ROUND(INDEX('怪物总表'!$H$6:$H$105,MATCH(A51,'怪物总表'!$A$6:$A$105,0))*$E$5*$K$5*IF(D51="精英",$B$126,1),0),"输入无效")</x:f>
        <x:v>4</x:v>
      </x:c>
      <x:c r="G51" s="24" t="n">
        <x:f>IF($B$6="有效",ROUND(F51*INDEX('怪物总表'!$K$6:$K$105,MATCH(A51,'怪物总表'!$A$6:$A$105,0)),0),"输入无效")</x:f>
        <x:v>0</x:v>
      </x:c>
      <x:c r="H51" s="24" t="n">
        <x:f>IF($B$6="有效",ROUND(INDEX('怪物总表'!$I$6:$I$105,MATCH(A51,'怪物总表'!$A$6:$A$105,0))*$B$5,0),"输入无效")</x:f>
        <x:v>12</x:v>
      </x:c>
      <x:c r="I51" s="24" t="n">
        <x:f>IF($B$6="有效",ROUND(INDEX('怪物总表'!$J$6:$J$105,MATCH(A51,'怪物总表'!$A$6:$A$105,0))*$B$5,0),"输入无效")</x:f>
        <x:v>0</x:v>
      </x:c>
      <x:c r="J51" s="28" t="n">
        <x:f>INDEX('怪物总表'!$L$6:$L$105,MATCH(A51,'怪物总表'!$A$6:$A$105,0))*IF(D51="精英",$B$127,1)</x:f>
        <x:v>3.5</x:v>
      </x:c>
      <x:c r="K51" s="24" t="n">
        <x:f>1+INDEX('怪物总表'!$M$6:$M$105,MATCH(A51,'怪物总表'!$A$6:$A$105,0))</x:f>
        <x:v>1</x:v>
      </x:c>
      <x:c r="L51" s="24" t="n">
        <x:f>ROUND(INDEX('怪物总表'!$G$6:$G$105,MATCH(A51,'怪物总表'!$A$6:$A$105,0))*IF(INDEX('怪物总表'!$E$6:$E$105,MATCH(A51,'怪物总表'!$A$6:$A$105,0))=1,$B$128,$B$120*POWER($B$123,(INDEX('怪物总表'!$E$6:$E$105,MATCH(A51,'怪物总表'!$A$6:$A$105,0))-2)/$B$122))*IF(D51="精英",$B$125,1),0)</x:f>
        <x:v>87</x:v>
      </x:c>
    </x:row>
    <x:row r="52" ht="31.5" customHeight="1">
      <x:c r="A52" s="16" t="str">
        <x:v>MON_N044</x:v>
      </x:c>
      <x:c r="B52" s="16" t="str">
        <x:f>INDEX('怪物总表'!$B$6:$B$105,MATCH(A52,'怪物总表'!$A$6:$A$105,0))</x:f>
        <x:v>续针脑</x:v>
      </x:c>
      <x:c r="C52" s="16" t="str">
        <x:f>IF($B$6="有效",IF(AND($B$4&gt;=INDEX('怪物总表'!$E$6:$E$105,MATCH(A52,'怪物总表'!$A$6:$A$105,0)),$E$4&gt;=INDEX('怪物总表'!$F$6:$F$105,MATCH(A52,'怪物总表'!$A$6:$A$105,0))),"已达门槛","未达门槛"),"输入无效")</x:f>
        <x:v>未达门槛</x:v>
      </x:c>
      <x:c r="D52" s="16" t="str">
        <x:f>INDEX('怪物总表'!$C$6:$C$105,MATCH(A52,'怪物总表'!$A$6:$A$105,0))</x:f>
        <x:v>普通</x:v>
      </x:c>
      <x:c r="E52" s="23" t="n">
        <x:f>IF($B$6="有效",ROUND(INDEX('怪物总表'!$G$6:$G$105,MATCH(A52,'怪物总表'!$A$6:$A$105,0))*$B$5*$H$5*IF(D52="精英",$B$125,1),0),"输入无效")</x:f>
        <x:v>40</x:v>
      </x:c>
      <x:c r="F52" s="23" t="n">
        <x:f>IF($B$6="有效",ROUND(INDEX('怪物总表'!$H$6:$H$105,MATCH(A52,'怪物总表'!$A$6:$A$105,0))*$E$5*$K$5*IF(D52="精英",$B$126,1),0),"输入无效")</x:f>
        <x:v>4</x:v>
      </x:c>
      <x:c r="G52" s="23" t="n">
        <x:f>IF($B$6="有效",ROUND(F52*INDEX('怪物总表'!$K$6:$K$105,MATCH(A52,'怪物总表'!$A$6:$A$105,0)),0),"输入无效")</x:f>
        <x:v>0</x:v>
      </x:c>
      <x:c r="H52" s="23" t="n">
        <x:f>IF($B$6="有效",ROUND(INDEX('怪物总表'!$I$6:$I$105,MATCH(A52,'怪物总表'!$A$6:$A$105,0))*$B$5,0),"输入无效")</x:f>
        <x:v>5</x:v>
      </x:c>
      <x:c r="I52" s="23" t="n">
        <x:f>IF($B$6="有效",ROUND(INDEX('怪物总表'!$J$6:$J$105,MATCH(A52,'怪物总表'!$A$6:$A$105,0))*$B$5,0),"输入无效")</x:f>
        <x:v>0</x:v>
      </x:c>
      <x:c r="J52" s="27" t="n">
        <x:f>INDEX('怪物总表'!$L$6:$L$105,MATCH(A52,'怪物总表'!$A$6:$A$105,0))*IF(D52="精英",$B$127,1)</x:f>
        <x:v>3</x:v>
      </x:c>
      <x:c r="K52" s="23" t="n">
        <x:f>1+INDEX('怪物总表'!$M$6:$M$105,MATCH(A52,'怪物总表'!$A$6:$A$105,0))</x:f>
        <x:v>1</x:v>
      </x:c>
      <x:c r="L52" s="23" t="n">
        <x:f>ROUND(INDEX('怪物总表'!$G$6:$G$105,MATCH(A52,'怪物总表'!$A$6:$A$105,0))*IF(INDEX('怪物总表'!$E$6:$E$105,MATCH(A52,'怪物总表'!$A$6:$A$105,0))=1,$B$128,$B$120*POWER($B$123,(INDEX('怪物总表'!$E$6:$E$105,MATCH(A52,'怪物总表'!$A$6:$A$105,0))-2)/$B$122))*IF(D52="精英",$B$125,1),0)</x:f>
        <x:v>81</x:v>
      </x:c>
    </x:row>
    <x:row r="53" ht="31.5" customHeight="1">
      <x:c r="A53" s="14" t="str">
        <x:v>MON_N045</x:v>
      </x:c>
      <x:c r="B53" s="14" t="str">
        <x:f>INDEX('怪物总表'!$B$6:$B$105,MATCH(A53,'怪物总表'!$A$6:$A$105,0))</x:f>
        <x:v>授甲晶簇</x:v>
      </x:c>
      <x:c r="C53" s="14" t="str">
        <x:f>IF($B$6="有效",IF(AND($B$4&gt;=INDEX('怪物总表'!$E$6:$E$105,MATCH(A53,'怪物总表'!$A$6:$A$105,0)),$E$4&gt;=INDEX('怪物总表'!$F$6:$F$105,MATCH(A53,'怪物总表'!$A$6:$A$105,0))),"已达门槛","未达门槛"),"输入无效")</x:f>
        <x:v>未达门槛</x:v>
      </x:c>
      <x:c r="D53" s="14" t="str">
        <x:f>INDEX('怪物总表'!$C$6:$C$105,MATCH(A53,'怪物总表'!$A$6:$A$105,0))</x:f>
        <x:v>普通</x:v>
      </x:c>
      <x:c r="E53" s="24" t="n">
        <x:f>IF($B$6="有效",ROUND(INDEX('怪物总表'!$G$6:$G$105,MATCH(A53,'怪物总表'!$A$6:$A$105,0))*$B$5*$H$5*IF(D53="精英",$B$125,1),0),"输入无效")</x:f>
        <x:v>48</x:v>
      </x:c>
      <x:c r="F53" s="24" t="n">
        <x:f>IF($B$6="有效",ROUND(INDEX('怪物总表'!$H$6:$H$105,MATCH(A53,'怪物总表'!$A$6:$A$105,0))*$E$5*$K$5*IF(D53="精英",$B$126,1),0),"输入无效")</x:f>
        <x:v>4</x:v>
      </x:c>
      <x:c r="G53" s="24" t="n">
        <x:f>IF($B$6="有效",ROUND(F53*INDEX('怪物总表'!$K$6:$K$105,MATCH(A53,'怪物总表'!$A$6:$A$105,0)),0),"输入无效")</x:f>
        <x:v>0</x:v>
      </x:c>
      <x:c r="H53" s="24" t="n">
        <x:f>IF($B$6="有效",ROUND(INDEX('怪物总表'!$I$6:$I$105,MATCH(A53,'怪物总表'!$A$6:$A$105,0))*$B$5,0),"输入无效")</x:f>
        <x:v>0</x:v>
      </x:c>
      <x:c r="I53" s="24" t="n">
        <x:f>IF($B$6="有效",ROUND(INDEX('怪物总表'!$J$6:$J$105,MATCH(A53,'怪物总表'!$A$6:$A$105,0))*$B$5,0),"输入无效")</x:f>
        <x:v>12</x:v>
      </x:c>
      <x:c r="J53" s="28" t="n">
        <x:f>INDEX('怪物总表'!$L$6:$L$105,MATCH(A53,'怪物总表'!$A$6:$A$105,0))*IF(D53="精英",$B$127,1)</x:f>
        <x:v>3.5</x:v>
      </x:c>
      <x:c r="K53" s="24" t="n">
        <x:f>1+INDEX('怪物总表'!$M$6:$M$105,MATCH(A53,'怪物总表'!$A$6:$A$105,0))</x:f>
        <x:v>1</x:v>
      </x:c>
      <x:c r="L53" s="24" t="n">
        <x:f>ROUND(INDEX('怪物总表'!$G$6:$G$105,MATCH(A53,'怪物总表'!$A$6:$A$105,0))*IF(INDEX('怪物总表'!$E$6:$E$105,MATCH(A53,'怪物总表'!$A$6:$A$105,0))=1,$B$128,$B$120*POWER($B$123,(INDEX('怪物总表'!$E$6:$E$105,MATCH(A53,'怪物总表'!$A$6:$A$105,0))-2)/$B$122))*IF(D53="精英",$B$125,1),0)</x:f>
        <x:v>78</x:v>
      </x:c>
    </x:row>
    <x:row r="54" ht="31.5" customHeight="1">
      <x:c r="A54" s="16" t="str">
        <x:v>MON_N046</x:v>
      </x:c>
      <x:c r="B54" s="16" t="str">
        <x:f>INDEX('怪物总表'!$B$6:$B$105,MATCH(A54,'怪物总表'!$A$6:$A$105,0))</x:f>
        <x:v>邻甲晶簇</x:v>
      </x:c>
      <x:c r="C54" s="16" t="str">
        <x:f>IF($B$6="有效",IF(AND($B$4&gt;=INDEX('怪物总表'!$E$6:$E$105,MATCH(A54,'怪物总表'!$A$6:$A$105,0)),$E$4&gt;=INDEX('怪物总表'!$F$6:$F$105,MATCH(A54,'怪物总表'!$A$6:$A$105,0))),"已达门槛","未达门槛"),"输入无效")</x:f>
        <x:v>未达门槛</x:v>
      </x:c>
      <x:c r="D54" s="16" t="str">
        <x:f>INDEX('怪物总表'!$C$6:$C$105,MATCH(A54,'怪物总表'!$A$6:$A$105,0))</x:f>
        <x:v>普通</x:v>
      </x:c>
      <x:c r="E54" s="23" t="n">
        <x:f>IF($B$6="有效",ROUND(INDEX('怪物总表'!$G$6:$G$105,MATCH(A54,'怪物总表'!$A$6:$A$105,0))*$B$5*$H$5*IF(D54="精英",$B$125,1),0),"输入无效")</x:f>
        <x:v>44</x:v>
      </x:c>
      <x:c r="F54" s="23" t="n">
        <x:f>IF($B$6="有效",ROUND(INDEX('怪物总表'!$H$6:$H$105,MATCH(A54,'怪物总表'!$A$6:$A$105,0))*$E$5*$K$5*IF(D54="精英",$B$126,1),0),"输入无效")</x:f>
        <x:v>3</x:v>
      </x:c>
      <x:c r="G54" s="23" t="n">
        <x:f>IF($B$6="有效",ROUND(F54*INDEX('怪物总表'!$K$6:$K$105,MATCH(A54,'怪物总表'!$A$6:$A$105,0)),0),"输入无效")</x:f>
        <x:v>0</x:v>
      </x:c>
      <x:c r="H54" s="23" t="n">
        <x:f>IF($B$6="有效",ROUND(INDEX('怪物总表'!$I$6:$I$105,MATCH(A54,'怪物总表'!$A$6:$A$105,0))*$B$5,0),"输入无效")</x:f>
        <x:v>0</x:v>
      </x:c>
      <x:c r="I54" s="23" t="n">
        <x:f>IF($B$6="有效",ROUND(INDEX('怪物总表'!$J$6:$J$105,MATCH(A54,'怪物总表'!$A$6:$A$105,0))*$B$5,0),"输入无效")</x:f>
        <x:v>8</x:v>
      </x:c>
      <x:c r="J54" s="27" t="n">
        <x:f>INDEX('怪物总表'!$L$6:$L$105,MATCH(A54,'怪物总表'!$A$6:$A$105,0))*IF(D54="精英",$B$127,1)</x:f>
        <x:v>4</x:v>
      </x:c>
      <x:c r="K54" s="23" t="n">
        <x:f>1+INDEX('怪物总表'!$M$6:$M$105,MATCH(A54,'怪物总表'!$A$6:$A$105,0))</x:f>
        <x:v>1</x:v>
      </x:c>
      <x:c r="L54" s="23" t="n">
        <x:f>ROUND(INDEX('怪物总表'!$G$6:$G$105,MATCH(A54,'怪物总表'!$A$6:$A$105,0))*IF(INDEX('怪物总表'!$E$6:$E$105,MATCH(A54,'怪物总表'!$A$6:$A$105,0))=1,$B$128,$B$120*POWER($B$123,(INDEX('怪物总表'!$E$6:$E$105,MATCH(A54,'怪物总表'!$A$6:$A$105,0))-2)/$B$122))*IF(D54="精英",$B$125,1),0)</x:f>
        <x:v>77</x:v>
      </x:c>
    </x:row>
    <x:row r="55" ht="31.5" customHeight="1">
      <x:c r="A55" s="14" t="str">
        <x:v>MON_N047</x:v>
      </x:c>
      <x:c r="B55" s="14" t="str">
        <x:f>INDEX('怪物总表'!$B$6:$B$105,MATCH(A55,'怪物总表'!$A$6:$A$105,0))</x:f>
        <x:v>压线护送者</x:v>
      </x:c>
      <x:c r="C55" s="14" t="str">
        <x:f>IF($B$6="有效",IF(AND($B$4&gt;=INDEX('怪物总表'!$E$6:$E$105,MATCH(A55,'怪物总表'!$A$6:$A$105,0)),$E$4&gt;=INDEX('怪物总表'!$F$6:$F$105,MATCH(A55,'怪物总表'!$A$6:$A$105,0))),"已达门槛","未达门槛"),"输入无效")</x:f>
        <x:v>未达门槛</x:v>
      </x:c>
      <x:c r="D55" s="14" t="str">
        <x:f>INDEX('怪物总表'!$C$6:$C$105,MATCH(A55,'怪物总表'!$A$6:$A$105,0))</x:f>
        <x:v>普通</x:v>
      </x:c>
      <x:c r="E55" s="24" t="n">
        <x:f>IF($B$6="有效",ROUND(INDEX('怪物总表'!$G$6:$G$105,MATCH(A55,'怪物总表'!$A$6:$A$105,0))*$B$5*$H$5*IF(D55="精英",$B$125,1),0),"输入无效")</x:f>
        <x:v>62</x:v>
      </x:c>
      <x:c r="F55" s="24" t="n">
        <x:f>IF($B$6="有效",ROUND(INDEX('怪物总表'!$H$6:$H$105,MATCH(A55,'怪物总表'!$A$6:$A$105,0))*$E$5*$K$5*IF(D55="精英",$B$126,1),0),"输入无效")</x:f>
        <x:v>5</x:v>
      </x:c>
      <x:c r="G55" s="24" t="n">
        <x:f>IF($B$6="有效",ROUND(F55*INDEX('怪物总表'!$K$6:$K$105,MATCH(A55,'怪物总表'!$A$6:$A$105,0)),0),"输入无效")</x:f>
        <x:v>0</x:v>
      </x:c>
      <x:c r="H55" s="24" t="n">
        <x:f>IF($B$6="有效",ROUND(INDEX('怪物总表'!$I$6:$I$105,MATCH(A55,'怪物总表'!$A$6:$A$105,0))*$B$5,0),"输入无效")</x:f>
        <x:v>0</x:v>
      </x:c>
      <x:c r="I55" s="24" t="n">
        <x:f>IF($B$6="有效",ROUND(INDEX('怪物总表'!$J$6:$J$105,MATCH(A55,'怪物总表'!$A$6:$A$105,0))*$B$5,0),"输入无效")</x:f>
        <x:v>18</x:v>
      </x:c>
      <x:c r="J55" s="28" t="n">
        <x:f>INDEX('怪物总表'!$L$6:$L$105,MATCH(A55,'怪物总表'!$A$6:$A$105,0))*IF(D55="精英",$B$127,1)</x:f>
        <x:v>4</x:v>
      </x:c>
      <x:c r="K55" s="24" t="n">
        <x:f>1+INDEX('怪物总表'!$M$6:$M$105,MATCH(A55,'怪物总表'!$A$6:$A$105,0))</x:f>
        <x:v>1</x:v>
      </x:c>
      <x:c r="L55" s="24" t="n">
        <x:f>ROUND(INDEX('怪物总表'!$G$6:$G$105,MATCH(A55,'怪物总表'!$A$6:$A$105,0))*IF(INDEX('怪物总表'!$E$6:$E$105,MATCH(A55,'怪物总表'!$A$6:$A$105,0))=1,$B$128,$B$120*POWER($B$123,(INDEX('怪物总表'!$E$6:$E$105,MATCH(A55,'怪物总表'!$A$6:$A$105,0))-2)/$B$122))*IF(D55="精英",$B$125,1),0)</x:f>
        <x:v>120</x:v>
      </x:c>
    </x:row>
    <x:row r="56" ht="31.5" customHeight="1">
      <x:c r="A56" s="16" t="str">
        <x:v>MON_N048</x:v>
      </x:c>
      <x:c r="B56" s="16" t="str">
        <x:f>INDEX('怪物总表'!$B$6:$B$105,MATCH(A56,'怪物总表'!$A$6:$A$105,0))</x:f>
        <x:v>轮甲晶核</x:v>
      </x:c>
      <x:c r="C56" s="16" t="str">
        <x:f>IF($B$6="有效",IF(AND($B$4&gt;=INDEX('怪物总表'!$E$6:$E$105,MATCH(A56,'怪物总表'!$A$6:$A$105,0)),$E$4&gt;=INDEX('怪物总表'!$F$6:$F$105,MATCH(A56,'怪物总表'!$A$6:$A$105,0))),"已达门槛","未达门槛"),"输入无效")</x:f>
        <x:v>未达门槛</x:v>
      </x:c>
      <x:c r="D56" s="16" t="str">
        <x:f>INDEX('怪物总表'!$C$6:$C$105,MATCH(A56,'怪物总表'!$A$6:$A$105,0))</x:f>
        <x:v>普通</x:v>
      </x:c>
      <x:c r="E56" s="23" t="n">
        <x:f>IF($B$6="有效",ROUND(INDEX('怪物总表'!$G$6:$G$105,MATCH(A56,'怪物总表'!$A$6:$A$105,0))*$B$5*$H$5*IF(D56="精英",$B$125,1),0),"输入无效")</x:f>
        <x:v>46</x:v>
      </x:c>
      <x:c r="F56" s="23" t="n">
        <x:f>IF($B$6="有效",ROUND(INDEX('怪物总表'!$H$6:$H$105,MATCH(A56,'怪物总表'!$A$6:$A$105,0))*$E$5*$K$5*IF(D56="精英",$B$126,1),0),"输入无效")</x:f>
        <x:v>4</x:v>
      </x:c>
      <x:c r="G56" s="23" t="n">
        <x:f>IF($B$6="有效",ROUND(F56*INDEX('怪物总表'!$K$6:$K$105,MATCH(A56,'怪物总表'!$A$6:$A$105,0)),0),"输入无效")</x:f>
        <x:v>0</x:v>
      </x:c>
      <x:c r="H56" s="23" t="n">
        <x:f>IF($B$6="有效",ROUND(INDEX('怪物总表'!$I$6:$I$105,MATCH(A56,'怪物总表'!$A$6:$A$105,0))*$B$5,0),"输入无效")</x:f>
        <x:v>0</x:v>
      </x:c>
      <x:c r="I56" s="23" t="n">
        <x:f>IF($B$6="有效",ROUND(INDEX('怪物总表'!$J$6:$J$105,MATCH(A56,'怪物总表'!$A$6:$A$105,0))*$B$5,0),"输入无效")</x:f>
        <x:v>10</x:v>
      </x:c>
      <x:c r="J56" s="27" t="n">
        <x:f>INDEX('怪物总表'!$L$6:$L$105,MATCH(A56,'怪物总表'!$A$6:$A$105,0))*IF(D56="精英",$B$127,1)</x:f>
        <x:v>4</x:v>
      </x:c>
      <x:c r="K56" s="23" t="n">
        <x:f>1+INDEX('怪物总表'!$M$6:$M$105,MATCH(A56,'怪物总表'!$A$6:$A$105,0))</x:f>
        <x:v>1</x:v>
      </x:c>
      <x:c r="L56" s="23" t="n">
        <x:f>ROUND(INDEX('怪物总表'!$G$6:$G$105,MATCH(A56,'怪物总表'!$A$6:$A$105,0))*IF(INDEX('怪物总表'!$E$6:$E$105,MATCH(A56,'怪物总表'!$A$6:$A$105,0))=1,$B$128,$B$120*POWER($B$123,(INDEX('怪物总表'!$E$6:$E$105,MATCH(A56,'怪物总表'!$A$6:$A$105,0))-2)/$B$122))*IF(D56="精英",$B$125,1),0)</x:f>
        <x:v>100</x:v>
      </x:c>
    </x:row>
    <x:row r="57" ht="31.5" customHeight="1">
      <x:c r="A57" s="14" t="str">
        <x:v>MON_N049</x:v>
      </x:c>
      <x:c r="B57" s="14" t="str">
        <x:f>INDEX('怪物总表'!$B$6:$B$105,MATCH(A57,'怪物总表'!$A$6:$A$105,0))</x:f>
        <x:v>突击号角</x:v>
      </x:c>
      <x:c r="C57" s="14" t="str">
        <x:f>IF($B$6="有效",IF(AND($B$4&gt;=INDEX('怪物总表'!$E$6:$E$105,MATCH(A57,'怪物总表'!$A$6:$A$105,0)),$E$4&gt;=INDEX('怪物总表'!$F$6:$F$105,MATCH(A57,'怪物总表'!$A$6:$A$105,0))),"已达门槛","未达门槛"),"输入无效")</x:f>
        <x:v>未达门槛</x:v>
      </x:c>
      <x:c r="D57" s="14" t="str">
        <x:f>INDEX('怪物总表'!$C$6:$C$105,MATCH(A57,'怪物总表'!$A$6:$A$105,0))</x:f>
        <x:v>普通</x:v>
      </x:c>
      <x:c r="E57" s="24" t="n">
        <x:f>IF($B$6="有效",ROUND(INDEX('怪物总表'!$G$6:$G$105,MATCH(A57,'怪物总表'!$A$6:$A$105,0))*$B$5*$H$5*IF(D57="精英",$B$125,1),0),"输入无效")</x:f>
        <x:v>42</x:v>
      </x:c>
      <x:c r="F57" s="24" t="n">
        <x:f>IF($B$6="有效",ROUND(INDEX('怪物总表'!$H$6:$H$105,MATCH(A57,'怪物总表'!$A$6:$A$105,0))*$E$5*$K$5*IF(D57="精英",$B$126,1),0),"输入无效")</x:f>
        <x:v>4</x:v>
      </x:c>
      <x:c r="G57" s="24" t="n">
        <x:f>IF($B$6="有效",ROUND(F57*INDEX('怪物总表'!$K$6:$K$105,MATCH(A57,'怪物总表'!$A$6:$A$105,0)),0),"输入无效")</x:f>
        <x:v>0</x:v>
      </x:c>
      <x:c r="H57" s="24" t="n">
        <x:f>IF($B$6="有效",ROUND(INDEX('怪物总表'!$I$6:$I$105,MATCH(A57,'怪物总表'!$A$6:$A$105,0))*$B$5,0),"输入无效")</x:f>
        <x:v>0</x:v>
      </x:c>
      <x:c r="I57" s="24" t="n">
        <x:f>IF($B$6="有效",ROUND(INDEX('怪物总表'!$J$6:$J$105,MATCH(A57,'怪物总表'!$A$6:$A$105,0))*$B$5,0),"输入无效")</x:f>
        <x:v>0</x:v>
      </x:c>
      <x:c r="J57" s="28" t="n">
        <x:f>INDEX('怪物总表'!$L$6:$L$105,MATCH(A57,'怪物总表'!$A$6:$A$105,0))*IF(D57="精英",$B$127,1)</x:f>
        <x:v>3.5</x:v>
      </x:c>
      <x:c r="K57" s="24" t="n">
        <x:f>1+INDEX('怪物总表'!$M$6:$M$105,MATCH(A57,'怪物总表'!$A$6:$A$105,0))</x:f>
        <x:v>1</x:v>
      </x:c>
      <x:c r="L57" s="24" t="n">
        <x:f>ROUND(INDEX('怪物总表'!$G$6:$G$105,MATCH(A57,'怪物总表'!$A$6:$A$105,0))*IF(INDEX('怪物总表'!$E$6:$E$105,MATCH(A57,'怪物总表'!$A$6:$A$105,0))=1,$B$128,$B$120*POWER($B$123,(INDEX('怪物总表'!$E$6:$E$105,MATCH(A57,'怪物总表'!$A$6:$A$105,0))-2)/$B$122))*IF(D57="精英",$B$125,1),0)</x:f>
        <x:v>70</x:v>
      </x:c>
    </x:row>
    <x:row r="58" ht="31.5" customHeight="1">
      <x:c r="A58" s="16" t="str">
        <x:v>MON_N050</x:v>
      </x:c>
      <x:c r="B58" s="16" t="str">
        <x:f>INDEX('怪物总表'!$B$6:$B$105,MATCH(A58,'怪物总表'!$A$6:$A$105,0))</x:f>
        <x:v>齐射脑</x:v>
      </x:c>
      <x:c r="C58" s="16" t="str">
        <x:f>IF($B$6="有效",IF(AND($B$4&gt;=INDEX('怪物总表'!$E$6:$E$105,MATCH(A58,'怪物总表'!$A$6:$A$105,0)),$E$4&gt;=INDEX('怪物总表'!$F$6:$F$105,MATCH(A58,'怪物总表'!$A$6:$A$105,0))),"已达门槛","未达门槛"),"输入无效")</x:f>
        <x:v>未达门槛</x:v>
      </x:c>
      <x:c r="D58" s="16" t="str">
        <x:f>INDEX('怪物总表'!$C$6:$C$105,MATCH(A58,'怪物总表'!$A$6:$A$105,0))</x:f>
        <x:v>普通</x:v>
      </x:c>
      <x:c r="E58" s="23" t="n">
        <x:f>IF($B$6="有效",ROUND(INDEX('怪物总表'!$G$6:$G$105,MATCH(A58,'怪物总表'!$A$6:$A$105,0))*$B$5*$H$5*IF(D58="精英",$B$125,1),0),"输入无效")</x:f>
        <x:v>38</x:v>
      </x:c>
      <x:c r="F58" s="23" t="n">
        <x:f>IF($B$6="有效",ROUND(INDEX('怪物总表'!$H$6:$H$105,MATCH(A58,'怪物总表'!$A$6:$A$105,0))*$E$5*$K$5*IF(D58="精英",$B$126,1),0),"输入无效")</x:f>
        <x:v>3</x:v>
      </x:c>
      <x:c r="G58" s="23" t="n">
        <x:f>IF($B$6="有效",ROUND(F58*INDEX('怪物总表'!$K$6:$K$105,MATCH(A58,'怪物总表'!$A$6:$A$105,0)),0),"输入无效")</x:f>
        <x:v>0</x:v>
      </x:c>
      <x:c r="H58" s="23" t="n">
        <x:f>IF($B$6="有效",ROUND(INDEX('怪物总表'!$I$6:$I$105,MATCH(A58,'怪物总表'!$A$6:$A$105,0))*$B$5,0),"输入无效")</x:f>
        <x:v>0</x:v>
      </x:c>
      <x:c r="I58" s="23" t="n">
        <x:f>IF($B$6="有效",ROUND(INDEX('怪物总表'!$J$6:$J$105,MATCH(A58,'怪物总表'!$A$6:$A$105,0))*$B$5,0),"输入无效")</x:f>
        <x:v>0</x:v>
      </x:c>
      <x:c r="J58" s="27" t="n">
        <x:f>INDEX('怪物总表'!$L$6:$L$105,MATCH(A58,'怪物总表'!$A$6:$A$105,0))*IF(D58="精英",$B$127,1)</x:f>
        <x:v>4</x:v>
      </x:c>
      <x:c r="K58" s="23" t="n">
        <x:f>1+INDEX('怪物总表'!$M$6:$M$105,MATCH(A58,'怪物总表'!$A$6:$A$105,0))</x:f>
        <x:v>1</x:v>
      </x:c>
      <x:c r="L58" s="23" t="n">
        <x:f>ROUND(INDEX('怪物总表'!$G$6:$G$105,MATCH(A58,'怪物总表'!$A$6:$A$105,0))*IF(INDEX('怪物总表'!$E$6:$E$105,MATCH(A58,'怪物总表'!$A$6:$A$105,0))=1,$B$128,$B$120*POWER($B$123,(INDEX('怪物总表'!$E$6:$E$105,MATCH(A58,'怪物总表'!$A$6:$A$105,0))-2)/$B$122))*IF(D58="精英",$B$125,1),0)</x:f>
        <x:v>69</x:v>
      </x:c>
    </x:row>
    <x:row r="59" ht="31.5" customHeight="1">
      <x:c r="A59" s="14" t="str">
        <x:v>MON_N051</x:v>
      </x:c>
      <x:c r="B59" s="14" t="str">
        <x:f>INDEX('怪物总表'!$B$6:$B$105,MATCH(A59,'怪物总表'!$A$6:$A$105,0))</x:f>
        <x:v>蓄令鼓脑</x:v>
      </x:c>
      <x:c r="C59" s="14" t="str">
        <x:f>IF($B$6="有效",IF(AND($B$4&gt;=INDEX('怪物总表'!$E$6:$E$105,MATCH(A59,'怪物总表'!$A$6:$A$105,0)),$E$4&gt;=INDEX('怪物总表'!$F$6:$F$105,MATCH(A59,'怪物总表'!$A$6:$A$105,0))),"已达门槛","未达门槛"),"输入无效")</x:f>
        <x:v>未达门槛</x:v>
      </x:c>
      <x:c r="D59" s="14" t="str">
        <x:f>INDEX('怪物总表'!$C$6:$C$105,MATCH(A59,'怪物总表'!$A$6:$A$105,0))</x:f>
        <x:v>普通</x:v>
      </x:c>
      <x:c r="E59" s="24" t="n">
        <x:f>IF($B$6="有效",ROUND(INDEX('怪物总表'!$G$6:$G$105,MATCH(A59,'怪物总表'!$A$6:$A$105,0))*$B$5*$H$5*IF(D59="精英",$B$125,1),0),"输入无效")</x:f>
        <x:v>52</x:v>
      </x:c>
      <x:c r="F59" s="24" t="n">
        <x:f>IF($B$6="有效",ROUND(INDEX('怪物总表'!$H$6:$H$105,MATCH(A59,'怪物总表'!$A$6:$A$105,0))*$E$5*$K$5*IF(D59="精英",$B$126,1),0),"输入无效")</x:f>
        <x:v>4</x:v>
      </x:c>
      <x:c r="G59" s="24" t="n">
        <x:f>IF($B$6="有效",ROUND(F59*INDEX('怪物总表'!$K$6:$K$105,MATCH(A59,'怪物总表'!$A$6:$A$105,0)),0),"输入无效")</x:f>
        <x:v>0</x:v>
      </x:c>
      <x:c r="H59" s="24" t="n">
        <x:f>IF($B$6="有效",ROUND(INDEX('怪物总表'!$I$6:$I$105,MATCH(A59,'怪物总表'!$A$6:$A$105,0))*$B$5,0),"输入无效")</x:f>
        <x:v>0</x:v>
      </x:c>
      <x:c r="I59" s="24" t="n">
        <x:f>IF($B$6="有效",ROUND(INDEX('怪物总表'!$J$6:$J$105,MATCH(A59,'怪物总表'!$A$6:$A$105,0))*$B$5,0),"输入无效")</x:f>
        <x:v>0</x:v>
      </x:c>
      <x:c r="J59" s="28" t="n">
        <x:f>INDEX('怪物总表'!$L$6:$L$105,MATCH(A59,'怪物总表'!$A$6:$A$105,0))*IF(D59="精英",$B$127,1)</x:f>
        <x:v>4</x:v>
      </x:c>
      <x:c r="K59" s="24" t="n">
        <x:f>1+INDEX('怪物总表'!$M$6:$M$105,MATCH(A59,'怪物总表'!$A$6:$A$105,0))</x:f>
        <x:v>1</x:v>
      </x:c>
      <x:c r="L59" s="24" t="n">
        <x:f>ROUND(INDEX('怪物总表'!$G$6:$G$105,MATCH(A59,'怪物总表'!$A$6:$A$105,0))*IF(INDEX('怪物总表'!$E$6:$E$105,MATCH(A59,'怪物总表'!$A$6:$A$105,0))=1,$B$128,$B$120*POWER($B$123,(INDEX('怪物总表'!$E$6:$E$105,MATCH(A59,'怪物总表'!$A$6:$A$105,0))-2)/$B$122))*IF(D59="精英",$B$125,1),0)</x:f>
        <x:v>105</x:v>
      </x:c>
    </x:row>
    <x:row r="60" ht="31.5" customHeight="1">
      <x:c r="A60" s="16" t="str">
        <x:v>MON_N052</x:v>
      </x:c>
      <x:c r="B60" s="16" t="str">
        <x:f>INDEX('怪物总表'!$B$6:$B$105,MATCH(A60,'怪物总表'!$A$6:$A$105,0))</x:f>
        <x:v>断血旗手</x:v>
      </x:c>
      <x:c r="C60" s="16" t="str">
        <x:f>IF($B$6="有效",IF(AND($B$4&gt;=INDEX('怪物总表'!$E$6:$E$105,MATCH(A60,'怪物总表'!$A$6:$A$105,0)),$E$4&gt;=INDEX('怪物总表'!$F$6:$F$105,MATCH(A60,'怪物总表'!$A$6:$A$105,0))),"已达门槛","未达门槛"),"输入无效")</x:f>
        <x:v>未达门槛</x:v>
      </x:c>
      <x:c r="D60" s="16" t="str">
        <x:f>INDEX('怪物总表'!$C$6:$C$105,MATCH(A60,'怪物总表'!$A$6:$A$105,0))</x:f>
        <x:v>普通</x:v>
      </x:c>
      <x:c r="E60" s="23" t="n">
        <x:f>IF($B$6="有效",ROUND(INDEX('怪物总表'!$G$6:$G$105,MATCH(A60,'怪物总表'!$A$6:$A$105,0))*$B$5*$H$5*IF(D60="精英",$B$125,1),0),"输入无效")</x:f>
        <x:v>44</x:v>
      </x:c>
      <x:c r="F60" s="23" t="n">
        <x:f>IF($B$6="有效",ROUND(INDEX('怪物总表'!$H$6:$H$105,MATCH(A60,'怪物总表'!$A$6:$A$105,0))*$E$5*$K$5*IF(D60="精英",$B$126,1),0),"输入无效")</x:f>
        <x:v>5</x:v>
      </x:c>
      <x:c r="G60" s="23" t="n">
        <x:f>IF($B$6="有效",ROUND(F60*INDEX('怪物总表'!$K$6:$K$105,MATCH(A60,'怪物总表'!$A$6:$A$105,0)),0),"输入无效")</x:f>
        <x:v>5</x:v>
      </x:c>
      <x:c r="H60" s="23" t="n">
        <x:f>IF($B$6="有效",ROUND(INDEX('怪物总表'!$I$6:$I$105,MATCH(A60,'怪物总表'!$A$6:$A$105,0))*$B$5,0),"输入无效")</x:f>
        <x:v>0</x:v>
      </x:c>
      <x:c r="I60" s="23" t="n">
        <x:f>IF($B$6="有效",ROUND(INDEX('怪物总表'!$J$6:$J$105,MATCH(A60,'怪物总表'!$A$6:$A$105,0))*$B$5,0),"输入无效")</x:f>
        <x:v>0</x:v>
      </x:c>
      <x:c r="J60" s="27" t="n">
        <x:f>INDEX('怪物总表'!$L$6:$L$105,MATCH(A60,'怪物总表'!$A$6:$A$105,0))*IF(D60="精英",$B$127,1)</x:f>
        <x:v>3.5</x:v>
      </x:c>
      <x:c r="K60" s="23" t="n">
        <x:f>1+INDEX('怪物总表'!$M$6:$M$105,MATCH(A60,'怪物总表'!$A$6:$A$105,0))</x:f>
        <x:v>1</x:v>
      </x:c>
      <x:c r="L60" s="23" t="n">
        <x:f>ROUND(INDEX('怪物总表'!$G$6:$G$105,MATCH(A60,'怪物总表'!$A$6:$A$105,0))*IF(INDEX('怪物总表'!$E$6:$E$105,MATCH(A60,'怪物总表'!$A$6:$A$105,0))=1,$B$128,$B$120*POWER($B$123,(INDEX('怪物总表'!$E$6:$E$105,MATCH(A60,'怪物总表'!$A$6:$A$105,0))-2)/$B$122))*IF(D60="精英",$B$125,1),0)</x:f>
        <x:v>99</x:v>
      </x:c>
    </x:row>
    <x:row r="61" ht="31.5" customHeight="1">
      <x:c r="A61" s="14" t="str">
        <x:v>MON_N053</x:v>
      </x:c>
      <x:c r="B61" s="14" t="str">
        <x:f>INDEX('怪物总表'!$B$6:$B$105,MATCH(A61,'怪物总表'!$A$6:$A$105,0))</x:f>
        <x:v>双卵腹囊</x:v>
      </x:c>
      <x:c r="C61" s="14" t="str">
        <x:f>IF($B$6="有效",IF(AND($B$4&gt;=INDEX('怪物总表'!$E$6:$E$105,MATCH(A61,'怪物总表'!$A$6:$A$105,0)),$E$4&gt;=INDEX('怪物总表'!$F$6:$F$105,MATCH(A61,'怪物总表'!$A$6:$A$105,0))),"已达门槛","未达门槛"),"输入无效")</x:f>
        <x:v>未达门槛</x:v>
      </x:c>
      <x:c r="D61" s="14" t="str">
        <x:f>INDEX('怪物总表'!$C$6:$C$105,MATCH(A61,'怪物总表'!$A$6:$A$105,0))</x:f>
        <x:v>普通</x:v>
      </x:c>
      <x:c r="E61" s="24" t="n">
        <x:f>IF($B$6="有效",ROUND(INDEX('怪物总表'!$G$6:$G$105,MATCH(A61,'怪物总表'!$A$6:$A$105,0))*$B$5*$H$5*IF(D61="精英",$B$125,1),0),"输入无效")</x:f>
        <x:v>58</x:v>
      </x:c>
      <x:c r="F61" s="24" t="n">
        <x:f>IF($B$6="有效",ROUND(INDEX('怪物总表'!$H$6:$H$105,MATCH(A61,'怪物总表'!$A$6:$A$105,0))*$E$5*$K$5*IF(D61="精英",$B$126,1),0),"输入无效")</x:f>
        <x:v>4</x:v>
      </x:c>
      <x:c r="G61" s="24" t="n">
        <x:f>IF($B$6="有效",ROUND(F61*INDEX('怪物总表'!$K$6:$K$105,MATCH(A61,'怪物总表'!$A$6:$A$105,0)),0),"输入无效")</x:f>
        <x:v>0</x:v>
      </x:c>
      <x:c r="H61" s="24" t="n">
        <x:f>IF($B$6="有效",ROUND(INDEX('怪物总表'!$I$6:$I$105,MATCH(A61,'怪物总表'!$A$6:$A$105,0))*$B$5,0),"输入无效")</x:f>
        <x:v>0</x:v>
      </x:c>
      <x:c r="I61" s="24" t="n">
        <x:f>IF($B$6="有效",ROUND(INDEX('怪物总表'!$J$6:$J$105,MATCH(A61,'怪物总表'!$A$6:$A$105,0))*$B$5,0),"输入无效")</x:f>
        <x:v>0</x:v>
      </x:c>
      <x:c r="J61" s="28" t="n">
        <x:f>INDEX('怪物总表'!$L$6:$L$105,MATCH(A61,'怪物总表'!$A$6:$A$105,0))*IF(D61="精英",$B$127,1)</x:f>
        <x:v>4.5</x:v>
      </x:c>
      <x:c r="K61" s="24" t="n">
        <x:f>1+INDEX('怪物总表'!$M$6:$M$105,MATCH(A61,'怪物总表'!$A$6:$A$105,0))</x:f>
        <x:v>3</x:v>
      </x:c>
      <x:c r="L61" s="24" t="n">
        <x:f>ROUND(INDEX('怪物总表'!$G$6:$G$105,MATCH(A61,'怪物总表'!$A$6:$A$105,0))*IF(INDEX('怪物总表'!$E$6:$E$105,MATCH(A61,'怪物总表'!$A$6:$A$105,0))=1,$B$128,$B$120*POWER($B$123,(INDEX('怪物总表'!$E$6:$E$105,MATCH(A61,'怪物总表'!$A$6:$A$105,0))-2)/$B$122))*IF(D61="精英",$B$125,1),0)</x:f>
        <x:v>101</x:v>
      </x:c>
    </x:row>
    <x:row r="62" ht="31.5" customHeight="1">
      <x:c r="A62" s="16" t="str">
        <x:v>MON_N054</x:v>
      </x:c>
      <x:c r="B62" s="16" t="str">
        <x:f>INDEX('怪物总表'!$B$6:$B$105,MATCH(A62,'怪物总表'!$A$6:$A$105,0))</x:f>
        <x:v>近息卵母</x:v>
      </x:c>
      <x:c r="C62" s="16" t="str">
        <x:f>IF($B$6="有效",IF(AND($B$4&gt;=INDEX('怪物总表'!$E$6:$E$105,MATCH(A62,'怪物总表'!$A$6:$A$105,0)),$E$4&gt;=INDEX('怪物总表'!$F$6:$F$105,MATCH(A62,'怪物总表'!$A$6:$A$105,0))),"已达门槛","未达门槛"),"输入无效")</x:f>
        <x:v>未达门槛</x:v>
      </x:c>
      <x:c r="D62" s="16" t="str">
        <x:f>INDEX('怪物总表'!$C$6:$C$105,MATCH(A62,'怪物总表'!$A$6:$A$105,0))</x:f>
        <x:v>普通</x:v>
      </x:c>
      <x:c r="E62" s="23" t="n">
        <x:f>IF($B$6="有效",ROUND(INDEX('怪物总表'!$G$6:$G$105,MATCH(A62,'怪物总表'!$A$6:$A$105,0))*$B$5*$H$5*IF(D62="精英",$B$125,1),0),"输入无效")</x:f>
        <x:v>52</x:v>
      </x:c>
      <x:c r="F62" s="23" t="n">
        <x:f>IF($B$6="有效",ROUND(INDEX('怪物总表'!$H$6:$H$105,MATCH(A62,'怪物总表'!$A$6:$A$105,0))*$E$5*$K$5*IF(D62="精英",$B$126,1),0),"输入无效")</x:f>
        <x:v>4</x:v>
      </x:c>
      <x:c r="G62" s="23" t="n">
        <x:f>IF($B$6="有效",ROUND(F62*INDEX('怪物总表'!$K$6:$K$105,MATCH(A62,'怪物总表'!$A$6:$A$105,0)),0),"输入无效")</x:f>
        <x:v>0</x:v>
      </x:c>
      <x:c r="H62" s="23" t="n">
        <x:f>IF($B$6="有效",ROUND(INDEX('怪物总表'!$I$6:$I$105,MATCH(A62,'怪物总表'!$A$6:$A$105,0))*$B$5,0),"输入无效")</x:f>
        <x:v>0</x:v>
      </x:c>
      <x:c r="I62" s="23" t="n">
        <x:f>IF($B$6="有效",ROUND(INDEX('怪物总表'!$J$6:$J$105,MATCH(A62,'怪物总表'!$A$6:$A$105,0))*$B$5,0),"输入无效")</x:f>
        <x:v>0</x:v>
      </x:c>
      <x:c r="J62" s="27" t="n">
        <x:f>INDEX('怪物总表'!$L$6:$L$105,MATCH(A62,'怪物总表'!$A$6:$A$105,0))*IF(D62="精英",$B$127,1)</x:f>
        <x:v>4.5</x:v>
      </x:c>
      <x:c r="K62" s="23" t="n">
        <x:f>1+INDEX('怪物总表'!$M$6:$M$105,MATCH(A62,'怪物总表'!$A$6:$A$105,0))</x:f>
        <x:v>3</x:v>
      </x:c>
      <x:c r="L62" s="23" t="n">
        <x:f>ROUND(INDEX('怪物总表'!$G$6:$G$105,MATCH(A62,'怪物总表'!$A$6:$A$105,0))*IF(INDEX('怪物总表'!$E$6:$E$105,MATCH(A62,'怪物总表'!$A$6:$A$105,0))=1,$B$128,$B$120*POWER($B$123,(INDEX('怪物总表'!$E$6:$E$105,MATCH(A62,'怪物总表'!$A$6:$A$105,0))-2)/$B$122))*IF(D62="精英",$B$125,1),0)</x:f>
        <x:v>97</x:v>
      </x:c>
    </x:row>
    <x:row r="63" ht="31.5" customHeight="1">
      <x:c r="A63" s="14" t="str">
        <x:v>MON_N055</x:v>
      </x:c>
      <x:c r="B63" s="14" t="str">
        <x:f>INDEX('怪物总表'!$B$6:$B$105,MATCH(A63,'怪物总表'!$A$6:$A$105,0))</x:f>
        <x:v>伤醒卵囊</x:v>
      </x:c>
      <x:c r="C63" s="14" t="str">
        <x:f>IF($B$6="有效",IF(AND($B$4&gt;=INDEX('怪物总表'!$E$6:$E$105,MATCH(A63,'怪物总表'!$A$6:$A$105,0)),$E$4&gt;=INDEX('怪物总表'!$F$6:$F$105,MATCH(A63,'怪物总表'!$A$6:$A$105,0))),"已达门槛","未达门槛"),"输入无效")</x:f>
        <x:v>未达门槛</x:v>
      </x:c>
      <x:c r="D63" s="14" t="str">
        <x:f>INDEX('怪物总表'!$C$6:$C$105,MATCH(A63,'怪物总表'!$A$6:$A$105,0))</x:f>
        <x:v>普通</x:v>
      </x:c>
      <x:c r="E63" s="24" t="n">
        <x:f>IF($B$6="有效",ROUND(INDEX('怪物总表'!$G$6:$G$105,MATCH(A63,'怪物总表'!$A$6:$A$105,0))*$B$5*$H$5*IF(D63="精英",$B$125,1),0),"输入无效")</x:f>
        <x:v>64</x:v>
      </x:c>
      <x:c r="F63" s="24" t="n">
        <x:f>IF($B$6="有效",ROUND(INDEX('怪物总表'!$H$6:$H$105,MATCH(A63,'怪物总表'!$A$6:$A$105,0))*$E$5*$K$5*IF(D63="精英",$B$126,1),0),"输入无效")</x:f>
        <x:v>5</x:v>
      </x:c>
      <x:c r="G63" s="24" t="n">
        <x:f>IF($B$6="有效",ROUND(F63*INDEX('怪物总表'!$K$6:$K$105,MATCH(A63,'怪物总表'!$A$6:$A$105,0)),0),"输入无效")</x:f>
        <x:v>5</x:v>
      </x:c>
      <x:c r="H63" s="24" t="n">
        <x:f>IF($B$6="有效",ROUND(INDEX('怪物总表'!$I$6:$I$105,MATCH(A63,'怪物总表'!$A$6:$A$105,0))*$B$5,0),"输入无效")</x:f>
        <x:v>0</x:v>
      </x:c>
      <x:c r="I63" s="24" t="n">
        <x:f>IF($B$6="有效",ROUND(INDEX('怪物总表'!$J$6:$J$105,MATCH(A63,'怪物总表'!$A$6:$A$105,0))*$B$5,0),"输入无效")</x:f>
        <x:v>0</x:v>
      </x:c>
      <x:c r="J63" s="28" t="n">
        <x:f>INDEX('怪物总表'!$L$6:$L$105,MATCH(A63,'怪物总表'!$A$6:$A$105,0))*IF(D63="精英",$B$127,1)</x:f>
        <x:v>5</x:v>
      </x:c>
      <x:c r="K63" s="24" t="n">
        <x:f>1+INDEX('怪物总表'!$M$6:$M$105,MATCH(A63,'怪物总表'!$A$6:$A$105,0))</x:f>
        <x:v>3</x:v>
      </x:c>
      <x:c r="L63" s="24" t="n">
        <x:f>ROUND(INDEX('怪物总表'!$G$6:$G$105,MATCH(A63,'怪物总表'!$A$6:$A$105,0))*IF(INDEX('怪物总表'!$E$6:$E$105,MATCH(A63,'怪物总表'!$A$6:$A$105,0))=1,$B$128,$B$120*POWER($B$123,(INDEX('怪物总表'!$E$6:$E$105,MATCH(A63,'怪物总表'!$A$6:$A$105,0))-2)/$B$122))*IF(D63="精英",$B$125,1),0)</x:f>
        <x:v>134</x:v>
      </x:c>
    </x:row>
    <x:row r="64" ht="31.5" customHeight="1">
      <x:c r="A64" s="16" t="str">
        <x:v>MON_N056</x:v>
      </x:c>
      <x:c r="B64" s="16" t="str">
        <x:f>INDEX('怪物总表'!$B$6:$B$105,MATCH(A64,'怪物总表'!$A$6:$A$105,0))</x:f>
        <x:v>迁巢母体</x:v>
      </x:c>
      <x:c r="C64" s="16" t="str">
        <x:f>IF($B$6="有效",IF(AND($B$4&gt;=INDEX('怪物总表'!$E$6:$E$105,MATCH(A64,'怪物总表'!$A$6:$A$105,0)),$E$4&gt;=INDEX('怪物总表'!$F$6:$F$105,MATCH(A64,'怪物总表'!$A$6:$A$105,0))),"已达门槛","未达门槛"),"输入无效")</x:f>
        <x:v>未达门槛</x:v>
      </x:c>
      <x:c r="D64" s="16" t="str">
        <x:f>INDEX('怪物总表'!$C$6:$C$105,MATCH(A64,'怪物总表'!$A$6:$A$105,0))</x:f>
        <x:v>普通</x:v>
      </x:c>
      <x:c r="E64" s="23" t="n">
        <x:f>IF($B$6="有效",ROUND(INDEX('怪物总表'!$G$6:$G$105,MATCH(A64,'怪物总表'!$A$6:$A$105,0))*$B$5*$H$5*IF(D64="精英",$B$125,1),0),"输入无效")</x:f>
        <x:v>56</x:v>
      </x:c>
      <x:c r="F64" s="23" t="n">
        <x:f>IF($B$6="有效",ROUND(INDEX('怪物总表'!$H$6:$H$105,MATCH(A64,'怪物总表'!$A$6:$A$105,0))*$E$5*$K$5*IF(D64="精英",$B$126,1),0),"输入无效")</x:f>
        <x:v>4</x:v>
      </x:c>
      <x:c r="G64" s="23" t="n">
        <x:f>IF($B$6="有效",ROUND(F64*INDEX('怪物总表'!$K$6:$K$105,MATCH(A64,'怪物总表'!$A$6:$A$105,0)),0),"输入无效")</x:f>
        <x:v>0</x:v>
      </x:c>
      <x:c r="H64" s="23" t="n">
        <x:f>IF($B$6="有效",ROUND(INDEX('怪物总表'!$I$6:$I$105,MATCH(A64,'怪物总表'!$A$6:$A$105,0))*$B$5,0),"输入无效")</x:f>
        <x:v>0</x:v>
      </x:c>
      <x:c r="I64" s="23" t="n">
        <x:f>IF($B$6="有效",ROUND(INDEX('怪物总表'!$J$6:$J$105,MATCH(A64,'怪物总表'!$A$6:$A$105,0))*$B$5,0),"输入无效")</x:f>
        <x:v>0</x:v>
      </x:c>
      <x:c r="J64" s="27" t="n">
        <x:f>INDEX('怪物总表'!$L$6:$L$105,MATCH(A64,'怪物总表'!$A$6:$A$105,0))*IF(D64="精英",$B$127,1)</x:f>
        <x:v>5</x:v>
      </x:c>
      <x:c r="K64" s="23" t="n">
        <x:f>1+INDEX('怪物总表'!$M$6:$M$105,MATCH(A64,'怪物总表'!$A$6:$A$105,0))</x:f>
        <x:v>3</x:v>
      </x:c>
      <x:c r="L64" s="23" t="n">
        <x:f>ROUND(INDEX('怪物总表'!$G$6:$G$105,MATCH(A64,'怪物总表'!$A$6:$A$105,0))*IF(INDEX('怪物总表'!$E$6:$E$105,MATCH(A64,'怪物总表'!$A$6:$A$105,0))=1,$B$128,$B$120*POWER($B$123,(INDEX('怪物总表'!$E$6:$E$105,MATCH(A64,'怪物总表'!$A$6:$A$105,0))-2)/$B$122))*IF(D64="精英",$B$125,1),0)</x:f>
        <x:v>130</x:v>
      </x:c>
    </x:row>
    <x:row r="65" ht="31.5" customHeight="1">
      <x:c r="A65" s="14" t="str">
        <x:v>MON_N057</x:v>
      </x:c>
      <x:c r="B65" s="14" t="str">
        <x:f>INDEX('怪物总表'!$B$6:$B$105,MATCH(A65,'怪物总表'!$A$6:$A$105,0))</x:f>
        <x:v>横裂血球</x:v>
      </x:c>
      <x:c r="C65" s="14" t="str">
        <x:f>IF($B$6="有效",IF(AND($B$4&gt;=INDEX('怪物总表'!$E$6:$E$105,MATCH(A65,'怪物总表'!$A$6:$A$105,0)),$E$4&gt;=INDEX('怪物总表'!$F$6:$F$105,MATCH(A65,'怪物总表'!$A$6:$A$105,0))),"已达门槛","未达门槛"),"输入无效")</x:f>
        <x:v>未达门槛</x:v>
      </x:c>
      <x:c r="D65" s="14" t="str">
        <x:f>INDEX('怪物总表'!$C$6:$C$105,MATCH(A65,'怪物总表'!$A$6:$A$105,0))</x:f>
        <x:v>普通</x:v>
      </x:c>
      <x:c r="E65" s="24" t="n">
        <x:f>IF($B$6="有效",ROUND(INDEX('怪物总表'!$G$6:$G$105,MATCH(A65,'怪物总表'!$A$6:$A$105,0))*$B$5*$H$5*IF(D65="精英",$B$125,1),0),"输入无效")</x:f>
        <x:v>48</x:v>
      </x:c>
      <x:c r="F65" s="24" t="n">
        <x:f>IF($B$6="有效",ROUND(INDEX('怪物总表'!$H$6:$H$105,MATCH(A65,'怪物总表'!$A$6:$A$105,0))*$E$5*$K$5*IF(D65="精英",$B$126,1),0),"输入无效")</x:f>
        <x:v>6</x:v>
      </x:c>
      <x:c r="G65" s="24" t="n">
        <x:f>IF($B$6="有效",ROUND(F65*INDEX('怪物总表'!$K$6:$K$105,MATCH(A65,'怪物总表'!$A$6:$A$105,0)),0),"输入无效")</x:f>
        <x:v>6</x:v>
      </x:c>
      <x:c r="H65" s="24" t="n">
        <x:f>IF($B$6="有效",ROUND(INDEX('怪物总表'!$I$6:$I$105,MATCH(A65,'怪物总表'!$A$6:$A$105,0))*$B$5,0),"输入无效")</x:f>
        <x:v>0</x:v>
      </x:c>
      <x:c r="I65" s="24" t="n">
        <x:f>IF($B$6="有效",ROUND(INDEX('怪物总表'!$J$6:$J$105,MATCH(A65,'怪物总表'!$A$6:$A$105,0))*$B$5,0),"输入无效")</x:f>
        <x:v>0</x:v>
      </x:c>
      <x:c r="J65" s="28" t="n">
        <x:f>INDEX('怪物总表'!$L$6:$L$105,MATCH(A65,'怪物总表'!$A$6:$A$105,0))*IF(D65="精英",$B$127,1)</x:f>
        <x:v>4</x:v>
      </x:c>
      <x:c r="K65" s="24" t="n">
        <x:f>1+INDEX('怪物总表'!$M$6:$M$105,MATCH(A65,'怪物总表'!$A$6:$A$105,0))</x:f>
        <x:v>3</x:v>
      </x:c>
      <x:c r="L65" s="24" t="n">
        <x:f>ROUND(INDEX('怪物总表'!$G$6:$G$105,MATCH(A65,'怪物总表'!$A$6:$A$105,0))*IF(INDEX('怪物总表'!$E$6:$E$105,MATCH(A65,'怪物总表'!$A$6:$A$105,0))=1,$B$128,$B$120*POWER($B$123,(INDEX('怪物总表'!$E$6:$E$105,MATCH(A65,'怪物总表'!$A$6:$A$105,0))-2)/$B$122))*IF(D65="精英",$B$125,1),0)</x:f>
        <x:v>87</x:v>
      </x:c>
    </x:row>
    <x:row r="66" ht="31.5" customHeight="1">
      <x:c r="A66" s="16" t="str">
        <x:v>MON_N058</x:v>
      </x:c>
      <x:c r="B66" s="16" t="str">
        <x:f>INDEX('怪物总表'!$B$6:$B$105,MATCH(A66,'怪物总表'!$A$6:$A$105,0))</x:f>
        <x:v>独核裂囊</x:v>
      </x:c>
      <x:c r="C66" s="16" t="str">
        <x:f>IF($B$6="有效",IF(AND($B$4&gt;=INDEX('怪物总表'!$E$6:$E$105,MATCH(A66,'怪物总表'!$A$6:$A$105,0)),$E$4&gt;=INDEX('怪物总表'!$F$6:$F$105,MATCH(A66,'怪物总表'!$A$6:$A$105,0))),"已达门槛","未达门槛"),"输入无效")</x:f>
        <x:v>未达门槛</x:v>
      </x:c>
      <x:c r="D66" s="16" t="str">
        <x:f>INDEX('怪物总表'!$C$6:$C$105,MATCH(A66,'怪物总表'!$A$6:$A$105,0))</x:f>
        <x:v>普通</x:v>
      </x:c>
      <x:c r="E66" s="23" t="n">
        <x:f>IF($B$6="有效",ROUND(INDEX('怪物总表'!$G$6:$G$105,MATCH(A66,'怪物总表'!$A$6:$A$105,0))*$B$5*$H$5*IF(D66="精英",$B$125,1),0),"输入无效")</x:f>
        <x:v>42</x:v>
      </x:c>
      <x:c r="F66" s="23" t="n">
        <x:f>IF($B$6="有效",ROUND(INDEX('怪物总表'!$H$6:$H$105,MATCH(A66,'怪物总表'!$A$6:$A$105,0))*$E$5*$K$5*IF(D66="精英",$B$126,1),0),"输入无效")</x:f>
        <x:v>6</x:v>
      </x:c>
      <x:c r="G66" s="23" t="n">
        <x:f>IF($B$6="有效",ROUND(F66*INDEX('怪物总表'!$K$6:$K$105,MATCH(A66,'怪物总表'!$A$6:$A$105,0)),0),"输入无效")</x:f>
        <x:v>6</x:v>
      </x:c>
      <x:c r="H66" s="23" t="n">
        <x:f>IF($B$6="有效",ROUND(INDEX('怪物总表'!$I$6:$I$105,MATCH(A66,'怪物总表'!$A$6:$A$105,0))*$B$5,0),"输入无效")</x:f>
        <x:v>0</x:v>
      </x:c>
      <x:c r="I66" s="23" t="n">
        <x:f>IF($B$6="有效",ROUND(INDEX('怪物总表'!$J$6:$J$105,MATCH(A66,'怪物总表'!$A$6:$A$105,0))*$B$5,0),"输入无效")</x:f>
        <x:v>0</x:v>
      </x:c>
      <x:c r="J66" s="27" t="n">
        <x:f>INDEX('怪物总表'!$L$6:$L$105,MATCH(A66,'怪物总表'!$A$6:$A$105,0))*IF(D66="精英",$B$127,1)</x:f>
        <x:v>3.5</x:v>
      </x:c>
      <x:c r="K66" s="23" t="n">
        <x:f>1+INDEX('怪物总表'!$M$6:$M$105,MATCH(A66,'怪物总表'!$A$6:$A$105,0))</x:f>
        <x:v>3</x:v>
      </x:c>
      <x:c r="L66" s="23" t="n">
        <x:f>ROUND(INDEX('怪物总表'!$G$6:$G$105,MATCH(A66,'怪物总表'!$A$6:$A$105,0))*IF(INDEX('怪物总表'!$E$6:$E$105,MATCH(A66,'怪物总表'!$A$6:$A$105,0))=1,$B$128,$B$120*POWER($B$123,(INDEX('怪物总表'!$E$6:$E$105,MATCH(A66,'怪物总表'!$A$6:$A$105,0))-2)/$B$122))*IF(D66="精英",$B$125,1),0)</x:f>
        <x:v>82</x:v>
      </x:c>
    </x:row>
    <x:row r="67" ht="31.5" customHeight="1">
      <x:c r="A67" s="14" t="str">
        <x:v>MON_N059</x:v>
      </x:c>
      <x:c r="B67" s="14" t="str">
        <x:f>INDEX('怪物总表'!$B$6:$B$105,MATCH(A67,'怪物总表'!$A$6:$A$105,0))</x:f>
        <x:v>纵裂血茧</x:v>
      </x:c>
      <x:c r="C67" s="14" t="str">
        <x:f>IF($B$6="有效",IF(AND($B$4&gt;=INDEX('怪物总表'!$E$6:$E$105,MATCH(A67,'怪物总表'!$A$6:$A$105,0)),$E$4&gt;=INDEX('怪物总表'!$F$6:$F$105,MATCH(A67,'怪物总表'!$A$6:$A$105,0))),"已达门槛","未达门槛"),"输入无效")</x:f>
        <x:v>未达门槛</x:v>
      </x:c>
      <x:c r="D67" s="14" t="str">
        <x:f>INDEX('怪物总表'!$C$6:$C$105,MATCH(A67,'怪物总表'!$A$6:$A$105,0))</x:f>
        <x:v>普通</x:v>
      </x:c>
      <x:c r="E67" s="24" t="n">
        <x:f>IF($B$6="有效",ROUND(INDEX('怪物总表'!$G$6:$G$105,MATCH(A67,'怪物总表'!$A$6:$A$105,0))*$B$5*$H$5*IF(D67="精英",$B$125,1),0),"输入无效")</x:f>
        <x:v>50</x:v>
      </x:c>
      <x:c r="F67" s="24" t="n">
        <x:f>IF($B$6="有效",ROUND(INDEX('怪物总表'!$H$6:$H$105,MATCH(A67,'怪物总表'!$A$6:$A$105,0))*$E$5*$K$5*IF(D67="精英",$B$126,1),0),"输入无效")</x:f>
        <x:v>6</x:v>
      </x:c>
      <x:c r="G67" s="24" t="n">
        <x:f>IF($B$6="有效",ROUND(F67*INDEX('怪物总表'!$K$6:$K$105,MATCH(A67,'怪物总表'!$A$6:$A$105,0)),0),"输入无效")</x:f>
        <x:v>6</x:v>
      </x:c>
      <x:c r="H67" s="24" t="n">
        <x:f>IF($B$6="有效",ROUND(INDEX('怪物总表'!$I$6:$I$105,MATCH(A67,'怪物总表'!$A$6:$A$105,0))*$B$5,0),"输入无效")</x:f>
        <x:v>0</x:v>
      </x:c>
      <x:c r="I67" s="24" t="n">
        <x:f>IF($B$6="有效",ROUND(INDEX('怪物总表'!$J$6:$J$105,MATCH(A67,'怪物总表'!$A$6:$A$105,0))*$B$5,0),"输入无效")</x:f>
        <x:v>0</x:v>
      </x:c>
      <x:c r="J67" s="28" t="n">
        <x:f>INDEX('怪物总表'!$L$6:$L$105,MATCH(A67,'怪物总表'!$A$6:$A$105,0))*IF(D67="精英",$B$127,1)</x:f>
        <x:v>4.5</x:v>
      </x:c>
      <x:c r="K67" s="24" t="n">
        <x:f>1+INDEX('怪物总表'!$M$6:$M$105,MATCH(A67,'怪物总表'!$A$6:$A$105,0))</x:f>
        <x:v>3</x:v>
      </x:c>
      <x:c r="L67" s="24" t="n">
        <x:f>ROUND(INDEX('怪物总表'!$G$6:$G$105,MATCH(A67,'怪物总表'!$A$6:$A$105,0))*IF(INDEX('怪物总表'!$E$6:$E$105,MATCH(A67,'怪物总表'!$A$6:$A$105,0))=1,$B$128,$B$120*POWER($B$123,(INDEX('怪物总表'!$E$6:$E$105,MATCH(A67,'怪物总表'!$A$6:$A$105,0))-2)/$B$122))*IF(D67="精英",$B$125,1),0)</x:f>
        <x:v>108</x:v>
      </x:c>
    </x:row>
    <x:row r="68" ht="31.5" customHeight="1">
      <x:c r="A68" s="16" t="str">
        <x:v>MON_N060</x:v>
      </x:c>
      <x:c r="B68" s="16" t="str">
        <x:f>INDEX('怪物总表'!$B$6:$B$105,MATCH(A68,'怪物总表'!$A$6:$A$105,0))</x:f>
        <x:v>续裂眼囊</x:v>
      </x:c>
      <x:c r="C68" s="16" t="str">
        <x:f>IF($B$6="有效",IF(AND($B$4&gt;=INDEX('怪物总表'!$E$6:$E$105,MATCH(A68,'怪物总表'!$A$6:$A$105,0)),$E$4&gt;=INDEX('怪物总表'!$F$6:$F$105,MATCH(A68,'怪物总表'!$A$6:$A$105,0))),"已达门槛","未达门槛"),"输入无效")</x:f>
        <x:v>未达门槛</x:v>
      </x:c>
      <x:c r="D68" s="16" t="str">
        <x:f>INDEX('怪物总表'!$C$6:$C$105,MATCH(A68,'怪物总表'!$A$6:$A$105,0))</x:f>
        <x:v>普通</x:v>
      </x:c>
      <x:c r="E68" s="23" t="n">
        <x:f>IF($B$6="有效",ROUND(INDEX('怪物总表'!$G$6:$G$105,MATCH(A68,'怪物总表'!$A$6:$A$105,0))*$B$5*$H$5*IF(D68="精英",$B$125,1),0),"输入无效")</x:f>
        <x:v>46</x:v>
      </x:c>
      <x:c r="F68" s="23" t="n">
        <x:f>IF($B$6="有效",ROUND(INDEX('怪物总表'!$H$6:$H$105,MATCH(A68,'怪物总表'!$A$6:$A$105,0))*$E$5*$K$5*IF(D68="精英",$B$126,1),0),"输入无效")</x:f>
        <x:v>6</x:v>
      </x:c>
      <x:c r="G68" s="23" t="n">
        <x:f>IF($B$6="有效",ROUND(F68*INDEX('怪物总表'!$K$6:$K$105,MATCH(A68,'怪物总表'!$A$6:$A$105,0)),0),"输入无效")</x:f>
        <x:v>6</x:v>
      </x:c>
      <x:c r="H68" s="23" t="n">
        <x:f>IF($B$6="有效",ROUND(INDEX('怪物总表'!$I$6:$I$105,MATCH(A68,'怪物总表'!$A$6:$A$105,0))*$B$5,0),"输入无效")</x:f>
        <x:v>0</x:v>
      </x:c>
      <x:c r="I68" s="23" t="n">
        <x:f>IF($B$6="有效",ROUND(INDEX('怪物总表'!$J$6:$J$105,MATCH(A68,'怪物总表'!$A$6:$A$105,0))*$B$5,0),"输入无效")</x:f>
        <x:v>0</x:v>
      </x:c>
      <x:c r="J68" s="27" t="n">
        <x:f>INDEX('怪物总表'!$L$6:$L$105,MATCH(A68,'怪物总表'!$A$6:$A$105,0))*IF(D68="精英",$B$127,1)</x:f>
        <x:v>4.5</x:v>
      </x:c>
      <x:c r="K68" s="23" t="n">
        <x:f>1+INDEX('怪物总表'!$M$6:$M$105,MATCH(A68,'怪物总表'!$A$6:$A$105,0))</x:f>
        <x:v>3</x:v>
      </x:c>
      <x:c r="L68" s="23" t="n">
        <x:f>ROUND(INDEX('怪物总表'!$G$6:$G$105,MATCH(A68,'怪物总表'!$A$6:$A$105,0))*IF(INDEX('怪物总表'!$E$6:$E$105,MATCH(A68,'怪物总表'!$A$6:$A$105,0))=1,$B$128,$B$120*POWER($B$123,(INDEX('怪物总表'!$E$6:$E$105,MATCH(A68,'怪物总表'!$A$6:$A$105,0))-2)/$B$122))*IF(D68="精英",$B$125,1),0)</x:f>
        <x:v>111</x:v>
      </x:c>
    </x:row>
    <x:row r="69" ht="31.5" customHeight="1">
      <x:c r="A69" s="14" t="str">
        <x:v>MON_N061</x:v>
      </x:c>
      <x:c r="B69" s="14" t="str">
        <x:f>INDEX('怪物总表'!$B$6:$B$105,MATCH(A69,'怪物总表'!$A$6:$A$105,0))</x:f>
        <x:v>还魂傀儡</x:v>
      </x:c>
      <x:c r="C69" s="14" t="str">
        <x:f>IF($B$6="有效",IF(AND($B$4&gt;=INDEX('怪物总表'!$E$6:$E$105,MATCH(A69,'怪物总表'!$A$6:$A$105,0)),$E$4&gt;=INDEX('怪物总表'!$F$6:$F$105,MATCH(A69,'怪物总表'!$A$6:$A$105,0))),"已达门槛","未达门槛"),"输入无效")</x:f>
        <x:v>未达门槛</x:v>
      </x:c>
      <x:c r="D69" s="14" t="str">
        <x:f>INDEX('怪物总表'!$C$6:$C$105,MATCH(A69,'怪物总表'!$A$6:$A$105,0))</x:f>
        <x:v>普通</x:v>
      </x:c>
      <x:c r="E69" s="24" t="n">
        <x:f>IF($B$6="有效",ROUND(INDEX('怪物总表'!$G$6:$G$105,MATCH(A69,'怪物总表'!$A$6:$A$105,0))*$B$5*$H$5*IF(D69="精英",$B$125,1),0),"输入无效")</x:f>
        <x:v>66</x:v>
      </x:c>
      <x:c r="F69" s="24" t="n">
        <x:f>IF($B$6="有效",ROUND(INDEX('怪物总表'!$H$6:$H$105,MATCH(A69,'怪物总表'!$A$6:$A$105,0))*$E$5*$K$5*IF(D69="精英",$B$126,1),0),"输入无效")</x:f>
        <x:v>6</x:v>
      </x:c>
      <x:c r="G69" s="24" t="n">
        <x:f>IF($B$6="有效",ROUND(F69*INDEX('怪物总表'!$K$6:$K$105,MATCH(A69,'怪物总表'!$A$6:$A$105,0)),0),"输入无效")</x:f>
        <x:v>6</x:v>
      </x:c>
      <x:c r="H69" s="24" t="n">
        <x:f>IF($B$6="有效",ROUND(INDEX('怪物总表'!$I$6:$I$105,MATCH(A69,'怪物总表'!$A$6:$A$105,0))*$B$5,0),"输入无效")</x:f>
        <x:v>0</x:v>
      </x:c>
      <x:c r="I69" s="24" t="n">
        <x:f>IF($B$6="有效",ROUND(INDEX('怪物总表'!$J$6:$J$105,MATCH(A69,'怪物总表'!$A$6:$A$105,0))*$B$5,0),"输入无效")</x:f>
        <x:v>0</x:v>
      </x:c>
      <x:c r="J69" s="28" t="n">
        <x:f>INDEX('怪物总表'!$L$6:$L$105,MATCH(A69,'怪物总表'!$A$6:$A$105,0))*IF(D69="精英",$B$127,1)</x:f>
        <x:v>4</x:v>
      </x:c>
      <x:c r="K69" s="24" t="n">
        <x:f>1+INDEX('怪物总表'!$M$6:$M$105,MATCH(A69,'怪物总表'!$A$6:$A$105,0))</x:f>
        <x:v>2</x:v>
      </x:c>
      <x:c r="L69" s="24" t="n">
        <x:f>ROUND(INDEX('怪物总表'!$G$6:$G$105,MATCH(A69,'怪物总表'!$A$6:$A$105,0))*IF(INDEX('怪物总表'!$E$6:$E$105,MATCH(A69,'怪物总表'!$A$6:$A$105,0))=1,$B$128,$B$120*POWER($B$123,(INDEX('怪物总表'!$E$6:$E$105,MATCH(A69,'怪物总表'!$A$6:$A$105,0))-2)/$B$122))*IF(D69="精英",$B$125,1),0)</x:f>
        <x:v>124</x:v>
      </x:c>
    </x:row>
    <x:row r="70" ht="31.5" customHeight="1">
      <x:c r="A70" s="16" t="str">
        <x:v>MON_N062</x:v>
      </x:c>
      <x:c r="B70" s="16" t="str">
        <x:f>INDEX('怪物总表'!$B$6:$B$105,MATCH(A70,'怪物总表'!$A$6:$A$105,0))</x:f>
        <x:v>迁墓傀儡</x:v>
      </x:c>
      <x:c r="C70" s="16" t="str">
        <x:f>IF($B$6="有效",IF(AND($B$4&gt;=INDEX('怪物总表'!$E$6:$E$105,MATCH(A70,'怪物总表'!$A$6:$A$105,0)),$E$4&gt;=INDEX('怪物总表'!$F$6:$F$105,MATCH(A70,'怪物总表'!$A$6:$A$105,0))),"已达门槛","未达门槛"),"输入无效")</x:f>
        <x:v>未达门槛</x:v>
      </x:c>
      <x:c r="D70" s="16" t="str">
        <x:f>INDEX('怪物总表'!$C$6:$C$105,MATCH(A70,'怪物总表'!$A$6:$A$105,0))</x:f>
        <x:v>普通</x:v>
      </x:c>
      <x:c r="E70" s="23" t="n">
        <x:f>IF($B$6="有效",ROUND(INDEX('怪物总表'!$G$6:$G$105,MATCH(A70,'怪物总表'!$A$6:$A$105,0))*$B$5*$H$5*IF(D70="精英",$B$125,1),0),"输入无效")</x:f>
        <x:v>60</x:v>
      </x:c>
      <x:c r="F70" s="23" t="n">
        <x:f>IF($B$6="有效",ROUND(INDEX('怪物总表'!$H$6:$H$105,MATCH(A70,'怪物总表'!$A$6:$A$105,0))*$E$5*$K$5*IF(D70="精英",$B$126,1),0),"输入无效")</x:f>
        <x:v>6</x:v>
      </x:c>
      <x:c r="G70" s="23" t="n">
        <x:f>IF($B$6="有效",ROUND(F70*INDEX('怪物总表'!$K$6:$K$105,MATCH(A70,'怪物总表'!$A$6:$A$105,0)),0),"输入无效")</x:f>
        <x:v>6</x:v>
      </x:c>
      <x:c r="H70" s="23" t="n">
        <x:f>IF($B$6="有效",ROUND(INDEX('怪物总表'!$I$6:$I$105,MATCH(A70,'怪物总表'!$A$6:$A$105,0))*$B$5,0),"输入无效")</x:f>
        <x:v>0</x:v>
      </x:c>
      <x:c r="I70" s="23" t="n">
        <x:f>IF($B$6="有效",ROUND(INDEX('怪物总表'!$J$6:$J$105,MATCH(A70,'怪物总表'!$A$6:$A$105,0))*$B$5,0),"输入无效")</x:f>
        <x:v>0</x:v>
      </x:c>
      <x:c r="J70" s="27" t="n">
        <x:f>INDEX('怪物总表'!$L$6:$L$105,MATCH(A70,'怪物总表'!$A$6:$A$105,0))*IF(D70="精英",$B$127,1)</x:f>
        <x:v>4</x:v>
      </x:c>
      <x:c r="K70" s="23" t="n">
        <x:f>1+INDEX('怪物总表'!$M$6:$M$105,MATCH(A70,'怪物总表'!$A$6:$A$105,0))</x:f>
        <x:v>2</x:v>
      </x:c>
      <x:c r="L70" s="23" t="n">
        <x:f>ROUND(INDEX('怪物总表'!$G$6:$G$105,MATCH(A70,'怪物总表'!$A$6:$A$105,0))*IF(INDEX('怪物总表'!$E$6:$E$105,MATCH(A70,'怪物总表'!$A$6:$A$105,0))=1,$B$128,$B$120*POWER($B$123,(INDEX('怪物总表'!$E$6:$E$105,MATCH(A70,'怪物总表'!$A$6:$A$105,0))-2)/$B$122))*IF(D70="精英",$B$125,1),0)</x:f>
        <x:v>121</x:v>
      </x:c>
    </x:row>
    <x:row r="71" ht="31.5" customHeight="1">
      <x:c r="A71" s="14" t="str">
        <x:v>MON_N063</x:v>
      </x:c>
      <x:c r="B71" s="14" t="str">
        <x:f>INDEX('怪物总表'!$B$6:$B$105,MATCH(A71,'怪物总表'!$A$6:$A$105,0))</x:f>
        <x:v>系命幽偶</x:v>
      </x:c>
      <x:c r="C71" s="14" t="str">
        <x:f>IF($B$6="有效",IF(AND($B$4&gt;=INDEX('怪物总表'!$E$6:$E$105,MATCH(A71,'怪物总表'!$A$6:$A$105,0)),$E$4&gt;=INDEX('怪物总表'!$F$6:$F$105,MATCH(A71,'怪物总表'!$A$6:$A$105,0))),"已达门槛","未达门槛"),"输入无效")</x:f>
        <x:v>未达门槛</x:v>
      </x:c>
      <x:c r="D71" s="14" t="str">
        <x:f>INDEX('怪物总表'!$C$6:$C$105,MATCH(A71,'怪物总表'!$A$6:$A$105,0))</x:f>
        <x:v>普通</x:v>
      </x:c>
      <x:c r="E71" s="24" t="n">
        <x:f>IF($B$6="有效",ROUND(INDEX('怪物总表'!$G$6:$G$105,MATCH(A71,'怪物总表'!$A$6:$A$105,0))*$B$5*$H$5*IF(D71="精英",$B$125,1),0),"输入无效")</x:f>
        <x:v>64</x:v>
      </x:c>
      <x:c r="F71" s="24" t="n">
        <x:f>IF($B$6="有效",ROUND(INDEX('怪物总表'!$H$6:$H$105,MATCH(A71,'怪物总表'!$A$6:$A$105,0))*$E$5*$K$5*IF(D71="精英",$B$126,1),0),"输入无效")</x:f>
        <x:v>6</x:v>
      </x:c>
      <x:c r="G71" s="24" t="n">
        <x:f>IF($B$6="有效",ROUND(F71*INDEX('怪物总表'!$K$6:$K$105,MATCH(A71,'怪物总表'!$A$6:$A$105,0)),0),"输入无效")</x:f>
        <x:v>6</x:v>
      </x:c>
      <x:c r="H71" s="24" t="n">
        <x:f>IF($B$6="有效",ROUND(INDEX('怪物总表'!$I$6:$I$105,MATCH(A71,'怪物总表'!$A$6:$A$105,0))*$B$5,0),"输入无效")</x:f>
        <x:v>0</x:v>
      </x:c>
      <x:c r="I71" s="24" t="n">
        <x:f>IF($B$6="有效",ROUND(INDEX('怪物总表'!$J$6:$J$105,MATCH(A71,'怪物总表'!$A$6:$A$105,0))*$B$5,0),"输入无效")</x:f>
        <x:v>0</x:v>
      </x:c>
      <x:c r="J71" s="28" t="n">
        <x:f>INDEX('怪物总表'!$L$6:$L$105,MATCH(A71,'怪物总表'!$A$6:$A$105,0))*IF(D71="精英",$B$127,1)</x:f>
        <x:v>4.5</x:v>
      </x:c>
      <x:c r="K71" s="24" t="n">
        <x:f>1+INDEX('怪物总表'!$M$6:$M$105,MATCH(A71,'怪物总表'!$A$6:$A$105,0))</x:f>
        <x:v>2</x:v>
      </x:c>
      <x:c r="L71" s="24" t="n">
        <x:f>ROUND(INDEX('怪物总表'!$G$6:$G$105,MATCH(A71,'怪物总表'!$A$6:$A$105,0))*IF(INDEX('怪物总表'!$E$6:$E$105,MATCH(A71,'怪物总表'!$A$6:$A$105,0))=1,$B$128,$B$120*POWER($B$123,(INDEX('怪物总表'!$E$6:$E$105,MATCH(A71,'怪物总表'!$A$6:$A$105,0))-2)/$B$122))*IF(D71="精英",$B$125,1),0)</x:f>
        <x:v>144</x:v>
      </x:c>
    </x:row>
    <x:row r="72" ht="31.5" customHeight="1">
      <x:c r="A72" s="16" t="str">
        <x:v>MON_N064</x:v>
      </x:c>
      <x:c r="B72" s="16" t="str">
        <x:f>INDEX('怪物总表'!$B$6:$B$105,MATCH(A72,'怪物总表'!$A$6:$A$105,0))</x:f>
        <x:v>立棺弩偶</x:v>
      </x:c>
      <x:c r="C72" s="16" t="str">
        <x:f>IF($B$6="有效",IF(AND($B$4&gt;=INDEX('怪物总表'!$E$6:$E$105,MATCH(A72,'怪物总表'!$A$6:$A$105,0)),$E$4&gt;=INDEX('怪物总表'!$F$6:$F$105,MATCH(A72,'怪物总表'!$A$6:$A$105,0))),"已达门槛","未达门槛"),"输入无效")</x:f>
        <x:v>未达门槛</x:v>
      </x:c>
      <x:c r="D72" s="16" t="str">
        <x:f>INDEX('怪物总表'!$C$6:$C$105,MATCH(A72,'怪物总表'!$A$6:$A$105,0))</x:f>
        <x:v>普通</x:v>
      </x:c>
      <x:c r="E72" s="23" t="n">
        <x:f>IF($B$6="有效",ROUND(INDEX('怪物总表'!$G$6:$G$105,MATCH(A72,'怪物总表'!$A$6:$A$105,0))*$B$5*$H$5*IF(D72="精英",$B$125,1),0),"输入无效")</x:f>
        <x:v>58</x:v>
      </x:c>
      <x:c r="F72" s="23" t="n">
        <x:f>IF($B$6="有效",ROUND(INDEX('怪物总表'!$H$6:$H$105,MATCH(A72,'怪物总表'!$A$6:$A$105,0))*$E$5*$K$5*IF(D72="精英",$B$126,1),0),"输入无效")</x:f>
        <x:v>7</x:v>
      </x:c>
      <x:c r="G72" s="23" t="n">
        <x:f>IF($B$6="有效",ROUND(F72*INDEX('怪物总表'!$K$6:$K$105,MATCH(A72,'怪物总表'!$A$6:$A$105,0)),0),"输入无效")</x:f>
        <x:v>7</x:v>
      </x:c>
      <x:c r="H72" s="23" t="n">
        <x:f>IF($B$6="有效",ROUND(INDEX('怪物总表'!$I$6:$I$105,MATCH(A72,'怪物总表'!$A$6:$A$105,0))*$B$5,0),"输入无效")</x:f>
        <x:v>0</x:v>
      </x:c>
      <x:c r="I72" s="23" t="n">
        <x:f>IF($B$6="有效",ROUND(INDEX('怪物总表'!$J$6:$J$105,MATCH(A72,'怪物总表'!$A$6:$A$105,0))*$B$5,0),"输入无效")</x:f>
        <x:v>0</x:v>
      </x:c>
      <x:c r="J72" s="27" t="n">
        <x:f>INDEX('怪物总表'!$L$6:$L$105,MATCH(A72,'怪物总表'!$A$6:$A$105,0))*IF(D72="精英",$B$127,1)</x:f>
        <x:v>4.5</x:v>
      </x:c>
      <x:c r="K72" s="23" t="n">
        <x:f>1+INDEX('怪物总表'!$M$6:$M$105,MATCH(A72,'怪物总表'!$A$6:$A$105,0))</x:f>
        <x:v>2</x:v>
      </x:c>
      <x:c r="L72" s="23" t="n">
        <x:f>ROUND(INDEX('怪物总表'!$G$6:$G$105,MATCH(A72,'怪物总表'!$A$6:$A$105,0))*IF(INDEX('怪物总表'!$E$6:$E$105,MATCH(A72,'怪物总表'!$A$6:$A$105,0))=1,$B$128,$B$120*POWER($B$123,(INDEX('怪物总表'!$E$6:$E$105,MATCH(A72,'怪物总表'!$A$6:$A$105,0))-2)/$B$122))*IF(D72="精英",$B$125,1),0)</x:f>
        <x:v>145</x:v>
      </x:c>
    </x:row>
    <x:row r="73" ht="31.5" customHeight="1">
      <x:c r="A73" s="14" t="str">
        <x:v>MON_N065</x:v>
      </x:c>
      <x:c r="B73" s="14" t="str">
        <x:f>INDEX('怪物总表'!$B$6:$B$105,MATCH(A73,'怪物总表'!$A$6:$A$105,0))</x:f>
        <x:v>换位幽灯</x:v>
      </x:c>
      <x:c r="C73" s="14" t="str">
        <x:f>IF($B$6="有效",IF(AND($B$4&gt;=INDEX('怪物总表'!$E$6:$E$105,MATCH(A73,'怪物总表'!$A$6:$A$105,0)),$E$4&gt;=INDEX('怪物总表'!$F$6:$F$105,MATCH(A73,'怪物总表'!$A$6:$A$105,0))),"已达门槛","未达门槛"),"输入无效")</x:f>
        <x:v>未达门槛</x:v>
      </x:c>
      <x:c r="D73" s="14" t="str">
        <x:f>INDEX('怪物总表'!$C$6:$C$105,MATCH(A73,'怪物总表'!$A$6:$A$105,0))</x:f>
        <x:v>普通</x:v>
      </x:c>
      <x:c r="E73" s="24" t="n">
        <x:f>IF($B$6="有效",ROUND(INDEX('怪物总表'!$G$6:$G$105,MATCH(A73,'怪物总表'!$A$6:$A$105,0))*$B$5*$H$5*IF(D73="精英",$B$125,1),0),"输入无效")</x:f>
        <x:v>38</x:v>
      </x:c>
      <x:c r="F73" s="24" t="n">
        <x:f>IF($B$6="有效",ROUND(INDEX('怪物总表'!$H$6:$H$105,MATCH(A73,'怪物总表'!$A$6:$A$105,0))*$E$5*$K$5*IF(D73="精英",$B$126,1),0),"输入无效")</x:f>
        <x:v>6</x:v>
      </x:c>
      <x:c r="G73" s="24" t="n">
        <x:f>IF($B$6="有效",ROUND(F73*INDEX('怪物总表'!$K$6:$K$105,MATCH(A73,'怪物总表'!$A$6:$A$105,0)),0),"输入无效")</x:f>
        <x:v>6</x:v>
      </x:c>
      <x:c r="H73" s="24" t="n">
        <x:f>IF($B$6="有效",ROUND(INDEX('怪物总表'!$I$6:$I$105,MATCH(A73,'怪物总表'!$A$6:$A$105,0))*$B$5,0),"输入无效")</x:f>
        <x:v>0</x:v>
      </x:c>
      <x:c r="I73" s="24" t="n">
        <x:f>IF($B$6="有效",ROUND(INDEX('怪物总表'!$J$6:$J$105,MATCH(A73,'怪物总表'!$A$6:$A$105,0))*$B$5,0),"输入无效")</x:f>
        <x:v>0</x:v>
      </x:c>
      <x:c r="J73" s="28" t="n">
        <x:f>INDEX('怪物总表'!$L$6:$L$105,MATCH(A73,'怪物总表'!$A$6:$A$105,0))*IF(D73="精英",$B$127,1)</x:f>
        <x:v>3.5</x:v>
      </x:c>
      <x:c r="K73" s="24" t="n">
        <x:f>1+INDEX('怪物总表'!$M$6:$M$105,MATCH(A73,'怪物总表'!$A$6:$A$105,0))</x:f>
        <x:v>1</x:v>
      </x:c>
      <x:c r="L73" s="24" t="n">
        <x:f>ROUND(INDEX('怪物总表'!$G$6:$G$105,MATCH(A73,'怪物总表'!$A$6:$A$105,0))*IF(INDEX('怪物总表'!$E$6:$E$105,MATCH(A73,'怪物总表'!$A$6:$A$105,0))=1,$B$128,$B$120*POWER($B$123,(INDEX('怪物总表'!$E$6:$E$105,MATCH(A73,'怪物总表'!$A$6:$A$105,0))-2)/$B$122))*IF(D73="精英",$B$125,1),0)</x:f>
        <x:v>69</x:v>
      </x:c>
    </x:row>
    <x:row r="74" ht="31.5" customHeight="1">
      <x:c r="A74" s="16" t="str">
        <x:v>MON_N066</x:v>
      </x:c>
      <x:c r="B74" s="16" t="str">
        <x:f>INDEX('怪物总表'!$B$6:$B$105,MATCH(A74,'怪物总表'!$A$6:$A$105,0))</x:f>
        <x:v>退影幽灯</x:v>
      </x:c>
      <x:c r="C74" s="16" t="str">
        <x:f>IF($B$6="有效",IF(AND($B$4&gt;=INDEX('怪物总表'!$E$6:$E$105,MATCH(A74,'怪物总表'!$A$6:$A$105,0)),$E$4&gt;=INDEX('怪物总表'!$F$6:$F$105,MATCH(A74,'怪物总表'!$A$6:$A$105,0))),"已达门槛","未达门槛"),"输入无效")</x:f>
        <x:v>未达门槛</x:v>
      </x:c>
      <x:c r="D74" s="16" t="str">
        <x:f>INDEX('怪物总表'!$C$6:$C$105,MATCH(A74,'怪物总表'!$A$6:$A$105,0))</x:f>
        <x:v>普通</x:v>
      </x:c>
      <x:c r="E74" s="23" t="n">
        <x:f>IF($B$6="有效",ROUND(INDEX('怪物总表'!$G$6:$G$105,MATCH(A74,'怪物总表'!$A$6:$A$105,0))*$B$5*$H$5*IF(D74="精英",$B$125,1),0),"输入无效")</x:f>
        <x:v>34</x:v>
      </x:c>
      <x:c r="F74" s="23" t="n">
        <x:f>IF($B$6="有效",ROUND(INDEX('怪物总表'!$H$6:$H$105,MATCH(A74,'怪物总表'!$A$6:$A$105,0))*$E$5*$K$5*IF(D74="精英",$B$126,1),0),"输入无效")</x:f>
        <x:v>6</x:v>
      </x:c>
      <x:c r="G74" s="23" t="n">
        <x:f>IF($B$6="有效",ROUND(F74*INDEX('怪物总表'!$K$6:$K$105,MATCH(A74,'怪物总表'!$A$6:$A$105,0)),0),"输入无效")</x:f>
        <x:v>6</x:v>
      </x:c>
      <x:c r="H74" s="23" t="n">
        <x:f>IF($B$6="有效",ROUND(INDEX('怪物总表'!$I$6:$I$105,MATCH(A74,'怪物总表'!$A$6:$A$105,0))*$B$5,0),"输入无效")</x:f>
        <x:v>0</x:v>
      </x:c>
      <x:c r="I74" s="23" t="n">
        <x:f>IF($B$6="有效",ROUND(INDEX('怪物总表'!$J$6:$J$105,MATCH(A74,'怪物总表'!$A$6:$A$105,0))*$B$5,0),"输入无效")</x:f>
        <x:v>0</x:v>
      </x:c>
      <x:c r="J74" s="27" t="n">
        <x:f>INDEX('怪物总表'!$L$6:$L$105,MATCH(A74,'怪物总表'!$A$6:$A$105,0))*IF(D74="精英",$B$127,1)</x:f>
        <x:v>4</x:v>
      </x:c>
      <x:c r="K74" s="23" t="n">
        <x:f>1+INDEX('怪物总表'!$M$6:$M$105,MATCH(A74,'怪物总表'!$A$6:$A$105,0))</x:f>
        <x:v>1</x:v>
      </x:c>
      <x:c r="L74" s="23" t="n">
        <x:f>ROUND(INDEX('怪物总表'!$G$6:$G$105,MATCH(A74,'怪物总表'!$A$6:$A$105,0))*IF(INDEX('怪物总表'!$E$6:$E$105,MATCH(A74,'怪物总表'!$A$6:$A$105,0))=1,$B$128,$B$120*POWER($B$123,(INDEX('怪物总表'!$E$6:$E$105,MATCH(A74,'怪物总表'!$A$6:$A$105,0))-2)/$B$122))*IF(D74="精英",$B$125,1),0)</x:f>
        <x:v>66</x:v>
      </x:c>
    </x:row>
    <x:row r="75" ht="31.5" customHeight="1">
      <x:c r="A75" s="14" t="str">
        <x:v>MON_N067</x:v>
      </x:c>
      <x:c r="B75" s="14" t="str">
        <x:f>INDEX('怪物总表'!$B$6:$B$105,MATCH(A75,'怪物总表'!$A$6:$A$105,0))</x:f>
        <x:v>巡廊幽灯</x:v>
      </x:c>
      <x:c r="C75" s="14" t="str">
        <x:f>IF($B$6="有效",IF(AND($B$4&gt;=INDEX('怪物总表'!$E$6:$E$105,MATCH(A75,'怪物总表'!$A$6:$A$105,0)),$E$4&gt;=INDEX('怪物总表'!$F$6:$F$105,MATCH(A75,'怪物总表'!$A$6:$A$105,0))),"已达门槛","未达门槛"),"输入无效")</x:f>
        <x:v>未达门槛</x:v>
      </x:c>
      <x:c r="D75" s="14" t="str">
        <x:f>INDEX('怪物总表'!$C$6:$C$105,MATCH(A75,'怪物总表'!$A$6:$A$105,0))</x:f>
        <x:v>普通</x:v>
      </x:c>
      <x:c r="E75" s="24" t="n">
        <x:f>IF($B$6="有效",ROUND(INDEX('怪物总表'!$G$6:$G$105,MATCH(A75,'怪物总表'!$A$6:$A$105,0))*$B$5*$H$5*IF(D75="精英",$B$125,1),0),"输入无效")</x:f>
        <x:v>42</x:v>
      </x:c>
      <x:c r="F75" s="24" t="n">
        <x:f>IF($B$6="有效",ROUND(INDEX('怪物总表'!$H$6:$H$105,MATCH(A75,'怪物总表'!$A$6:$A$105,0))*$E$5*$K$5*IF(D75="精英",$B$126,1),0),"输入无效")</x:f>
        <x:v>6</x:v>
      </x:c>
      <x:c r="G75" s="24" t="n">
        <x:f>IF($B$6="有效",ROUND(F75*INDEX('怪物总表'!$K$6:$K$105,MATCH(A75,'怪物总表'!$A$6:$A$105,0)),0),"输入无效")</x:f>
        <x:v>6</x:v>
      </x:c>
      <x:c r="H75" s="24" t="n">
        <x:f>IF($B$6="有效",ROUND(INDEX('怪物总表'!$I$6:$I$105,MATCH(A75,'怪物总表'!$A$6:$A$105,0))*$B$5,0),"输入无效")</x:f>
        <x:v>0</x:v>
      </x:c>
      <x:c r="I75" s="24" t="n">
        <x:f>IF($B$6="有效",ROUND(INDEX('怪物总表'!$J$6:$J$105,MATCH(A75,'怪物总表'!$A$6:$A$105,0))*$B$5,0),"输入无效")</x:f>
        <x:v>0</x:v>
      </x:c>
      <x:c r="J75" s="28" t="n">
        <x:f>INDEX('怪物总表'!$L$6:$L$105,MATCH(A75,'怪物总表'!$A$6:$A$105,0))*IF(D75="精英",$B$127,1)</x:f>
        <x:v>3.5</x:v>
      </x:c>
      <x:c r="K75" s="24" t="n">
        <x:f>1+INDEX('怪物总表'!$M$6:$M$105,MATCH(A75,'怪物总表'!$A$6:$A$105,0))</x:f>
        <x:v>1</x:v>
      </x:c>
      <x:c r="L75" s="24" t="n">
        <x:f>ROUND(INDEX('怪物总表'!$G$6:$G$105,MATCH(A75,'怪物总表'!$A$6:$A$105,0))*IF(INDEX('怪物总表'!$E$6:$E$105,MATCH(A75,'怪物总表'!$A$6:$A$105,0))=1,$B$128,$B$120*POWER($B$123,(INDEX('怪物总表'!$E$6:$E$105,MATCH(A75,'怪物总表'!$A$6:$A$105,0))-2)/$B$122))*IF(D75="精英",$B$125,1),0)</x:f>
        <x:v>91</x:v>
      </x:c>
    </x:row>
    <x:row r="76" ht="31.5" customHeight="1">
      <x:c r="A76" s="16" t="str">
        <x:v>MON_N068</x:v>
      </x:c>
      <x:c r="B76" s="16" t="str">
        <x:f>INDEX('怪物总表'!$B$6:$B$105,MATCH(A76,'怪物总表'!$A$6:$A$105,0))</x:f>
        <x:v>护伴幽灯</x:v>
      </x:c>
      <x:c r="C76" s="16" t="str">
        <x:f>IF($B$6="有效",IF(AND($B$4&gt;=INDEX('怪物总表'!$E$6:$E$105,MATCH(A76,'怪物总表'!$A$6:$A$105,0)),$E$4&gt;=INDEX('怪物总表'!$F$6:$F$105,MATCH(A76,'怪物总表'!$A$6:$A$105,0))),"已达门槛","未达门槛"),"输入无效")</x:f>
        <x:v>未达门槛</x:v>
      </x:c>
      <x:c r="D76" s="16" t="str">
        <x:f>INDEX('怪物总表'!$C$6:$C$105,MATCH(A76,'怪物总表'!$A$6:$A$105,0))</x:f>
        <x:v>普通</x:v>
      </x:c>
      <x:c r="E76" s="23" t="n">
        <x:f>IF($B$6="有效",ROUND(INDEX('怪物总表'!$G$6:$G$105,MATCH(A76,'怪物总表'!$A$6:$A$105,0))*$B$5*$H$5*IF(D76="精英",$B$125,1),0),"输入无效")</x:f>
        <x:v>44</x:v>
      </x:c>
      <x:c r="F76" s="23" t="n">
        <x:f>IF($B$6="有效",ROUND(INDEX('怪物总表'!$H$6:$H$105,MATCH(A76,'怪物总表'!$A$6:$A$105,0))*$E$5*$K$5*IF(D76="精英",$B$126,1),0),"输入无效")</x:f>
        <x:v>5</x:v>
      </x:c>
      <x:c r="G76" s="23" t="n">
        <x:f>IF($B$6="有效",ROUND(F76*INDEX('怪物总表'!$K$6:$K$105,MATCH(A76,'怪物总表'!$A$6:$A$105,0)),0),"输入无效")</x:f>
        <x:v>5</x:v>
      </x:c>
      <x:c r="H76" s="23" t="n">
        <x:f>IF($B$6="有效",ROUND(INDEX('怪物总表'!$I$6:$I$105,MATCH(A76,'怪物总表'!$A$6:$A$105,0))*$B$5,0),"输入无效")</x:f>
        <x:v>0</x:v>
      </x:c>
      <x:c r="I76" s="23" t="n">
        <x:f>IF($B$6="有效",ROUND(INDEX('怪物总表'!$J$6:$J$105,MATCH(A76,'怪物总表'!$A$6:$A$105,0))*$B$5,0),"输入无效")</x:f>
        <x:v>0</x:v>
      </x:c>
      <x:c r="J76" s="27" t="n">
        <x:f>INDEX('怪物总表'!$L$6:$L$105,MATCH(A76,'怪物总表'!$A$6:$A$105,0))*IF(D76="精英",$B$127,1)</x:f>
        <x:v>4</x:v>
      </x:c>
      <x:c r="K76" s="23" t="n">
        <x:f>1+INDEX('怪物总表'!$M$6:$M$105,MATCH(A76,'怪物总表'!$A$6:$A$105,0))</x:f>
        <x:v>1</x:v>
      </x:c>
      <x:c r="L76" s="23" t="n">
        <x:f>ROUND(INDEX('怪物总表'!$G$6:$G$105,MATCH(A76,'怪物总表'!$A$6:$A$105,0))*IF(INDEX('怪物总表'!$E$6:$E$105,MATCH(A76,'怪物总表'!$A$6:$A$105,0))=1,$B$128,$B$120*POWER($B$123,(INDEX('怪物总表'!$E$6:$E$105,MATCH(A76,'怪物总表'!$A$6:$A$105,0))-2)/$B$122))*IF(D76="精英",$B$125,1),0)</x:f>
        <x:v>106</x:v>
      </x:c>
    </x:row>
    <x:row r="77" ht="31.5" customHeight="1">
      <x:c r="A77" s="14" t="str">
        <x:v>MON_N069</x:v>
      </x:c>
      <x:c r="B77" s="14" t="str">
        <x:f>INDEX('怪物总表'!$B$6:$B$105,MATCH(A77,'怪物总表'!$A$6:$A$105,0))</x:f>
        <x:v>牵线脑</x:v>
      </x:c>
      <x:c r="C77" s="14" t="str">
        <x:f>IF($B$6="有效",IF(AND($B$4&gt;=INDEX('怪物总表'!$E$6:$E$105,MATCH(A77,'怪物总表'!$A$6:$A$105,0)),$E$4&gt;=INDEX('怪物总表'!$F$6:$F$105,MATCH(A77,'怪物总表'!$A$6:$A$105,0))),"已达门槛","未达门槛"),"输入无效")</x:f>
        <x:v>未达门槛</x:v>
      </x:c>
      <x:c r="D77" s="14" t="str">
        <x:f>INDEX('怪物总表'!$C$6:$C$105,MATCH(A77,'怪物总表'!$A$6:$A$105,0))</x:f>
        <x:v>普通</x:v>
      </x:c>
      <x:c r="E77" s="24" t="n">
        <x:f>IF($B$6="有效",ROUND(INDEX('怪物总表'!$G$6:$G$105,MATCH(A77,'怪物总表'!$A$6:$A$105,0))*$B$5*$H$5*IF(D77="精英",$B$125,1),0),"输入无效")</x:f>
        <x:v>44</x:v>
      </x:c>
      <x:c r="F77" s="24" t="n">
        <x:f>IF($B$6="有效",ROUND(INDEX('怪物总表'!$H$6:$H$105,MATCH(A77,'怪物总表'!$A$6:$A$105,0))*$E$5*$K$5*IF(D77="精英",$B$126,1),0),"输入无效")</x:f>
        <x:v>5</x:v>
      </x:c>
      <x:c r="G77" s="24" t="n">
        <x:f>IF($B$6="有效",ROUND(F77*INDEX('怪物总表'!$K$6:$K$105,MATCH(A77,'怪物总表'!$A$6:$A$105,0)),0),"输入无效")</x:f>
        <x:v>0</x:v>
      </x:c>
      <x:c r="H77" s="24" t="n">
        <x:f>IF($B$6="有效",ROUND(INDEX('怪物总表'!$I$6:$I$105,MATCH(A77,'怪物总表'!$A$6:$A$105,0))*$B$5,0),"输入无效")</x:f>
        <x:v>0</x:v>
      </x:c>
      <x:c r="I77" s="24" t="n">
        <x:f>IF($B$6="有效",ROUND(INDEX('怪物总表'!$J$6:$J$105,MATCH(A77,'怪物总表'!$A$6:$A$105,0))*$B$5,0),"输入无效")</x:f>
        <x:v>0</x:v>
      </x:c>
      <x:c r="J77" s="28" t="n">
        <x:f>INDEX('怪物总表'!$L$6:$L$105,MATCH(A77,'怪物总表'!$A$6:$A$105,0))*IF(D77="精英",$B$127,1)</x:f>
        <x:v>4</x:v>
      </x:c>
      <x:c r="K77" s="24" t="n">
        <x:f>1+INDEX('怪物总表'!$M$6:$M$105,MATCH(A77,'怪物总表'!$A$6:$A$105,0))</x:f>
        <x:v>1</x:v>
      </x:c>
      <x:c r="L77" s="24" t="n">
        <x:f>ROUND(INDEX('怪物总表'!$G$6:$G$105,MATCH(A77,'怪物总表'!$A$6:$A$105,0))*IF(INDEX('怪物总表'!$E$6:$E$105,MATCH(A77,'怪物总表'!$A$6:$A$105,0))=1,$B$128,$B$120*POWER($B$123,(INDEX('怪物总表'!$E$6:$E$105,MATCH(A77,'怪物总表'!$A$6:$A$105,0))-2)/$B$122))*IF(D77="精英",$B$125,1),0)</x:f>
        <x:v>85</x:v>
      </x:c>
    </x:row>
    <x:row r="78" ht="31.5" customHeight="1">
      <x:c r="A78" s="16" t="str">
        <x:v>MON_N070</x:v>
      </x:c>
      <x:c r="B78" s="16" t="str">
        <x:f>INDEX('怪物总表'!$B$6:$B$105,MATCH(A78,'怪物总表'!$A$6:$A$105,0))</x:f>
        <x:v>侧钩幽脑</x:v>
      </x:c>
      <x:c r="C78" s="16" t="str">
        <x:f>IF($B$6="有效",IF(AND($B$4&gt;=INDEX('怪物总表'!$E$6:$E$105,MATCH(A78,'怪物总表'!$A$6:$A$105,0)),$E$4&gt;=INDEX('怪物总表'!$F$6:$F$105,MATCH(A78,'怪物总表'!$A$6:$A$105,0))),"已达门槛","未达门槛"),"输入无效")</x:f>
        <x:v>未达门槛</x:v>
      </x:c>
      <x:c r="D78" s="16" t="str">
        <x:f>INDEX('怪物总表'!$C$6:$C$105,MATCH(A78,'怪物总表'!$A$6:$A$105,0))</x:f>
        <x:v>普通</x:v>
      </x:c>
      <x:c r="E78" s="23" t="n">
        <x:f>IF($B$6="有效",ROUND(INDEX('怪物总表'!$G$6:$G$105,MATCH(A78,'怪物总表'!$A$6:$A$105,0))*$B$5*$H$5*IF(D78="精英",$B$125,1),0),"输入无效")</x:f>
        <x:v>40</x:v>
      </x:c>
      <x:c r="F78" s="23" t="n">
        <x:f>IF($B$6="有效",ROUND(INDEX('怪物总表'!$H$6:$H$105,MATCH(A78,'怪物总表'!$A$6:$A$105,0))*$E$5*$K$5*IF(D78="精英",$B$126,1),0),"输入无效")</x:f>
        <x:v>4</x:v>
      </x:c>
      <x:c r="G78" s="23" t="n">
        <x:f>IF($B$6="有效",ROUND(F78*INDEX('怪物总表'!$K$6:$K$105,MATCH(A78,'怪物总表'!$A$6:$A$105,0)),0),"输入无效")</x:f>
        <x:v>0</x:v>
      </x:c>
      <x:c r="H78" s="23" t="n">
        <x:f>IF($B$6="有效",ROUND(INDEX('怪物总表'!$I$6:$I$105,MATCH(A78,'怪物总表'!$A$6:$A$105,0))*$B$5,0),"输入无效")</x:f>
        <x:v>0</x:v>
      </x:c>
      <x:c r="I78" s="23" t="n">
        <x:f>IF($B$6="有效",ROUND(INDEX('怪物总表'!$J$6:$J$105,MATCH(A78,'怪物总表'!$A$6:$A$105,0))*$B$5,0),"输入无效")</x:f>
        <x:v>0</x:v>
      </x:c>
      <x:c r="J78" s="27" t="n">
        <x:f>INDEX('怪物总表'!$L$6:$L$105,MATCH(A78,'怪物总表'!$A$6:$A$105,0))*IF(D78="精英",$B$127,1)</x:f>
        <x:v>4</x:v>
      </x:c>
      <x:c r="K78" s="23" t="n">
        <x:f>1+INDEX('怪物总表'!$M$6:$M$105,MATCH(A78,'怪物总表'!$A$6:$A$105,0))</x:f>
        <x:v>1</x:v>
      </x:c>
      <x:c r="L78" s="23" t="n">
        <x:f>ROUND(INDEX('怪物总表'!$G$6:$G$105,MATCH(A78,'怪物总表'!$A$6:$A$105,0))*IF(INDEX('怪物总表'!$E$6:$E$105,MATCH(A78,'怪物总表'!$A$6:$A$105,0))=1,$B$128,$B$120*POWER($B$123,(INDEX('怪物总表'!$E$6:$E$105,MATCH(A78,'怪物总表'!$A$6:$A$105,0))-2)/$B$122))*IF(D78="精英",$B$125,1),0)</x:f>
        <x:v>84</x:v>
      </x:c>
    </x:row>
    <x:row r="79" ht="31.5" customHeight="1">
      <x:c r="A79" s="14" t="str">
        <x:v>MON_N071</x:v>
      </x:c>
      <x:c r="B79" s="14" t="str">
        <x:f>INDEX('怪物总表'!$B$6:$B$105,MATCH(A79,'怪物总表'!$A$6:$A$105,0))</x:f>
        <x:v>远钩脑</x:v>
      </x:c>
      <x:c r="C79" s="14" t="str">
        <x:f>IF($B$6="有效",IF(AND($B$4&gt;=INDEX('怪物总表'!$E$6:$E$105,MATCH(A79,'怪物总表'!$A$6:$A$105,0)),$E$4&gt;=INDEX('怪物总表'!$F$6:$F$105,MATCH(A79,'怪物总表'!$A$6:$A$105,0))),"已达门槛","未达门槛"),"输入无效")</x:f>
        <x:v>未达门槛</x:v>
      </x:c>
      <x:c r="D79" s="14" t="str">
        <x:f>INDEX('怪物总表'!$C$6:$C$105,MATCH(A79,'怪物总表'!$A$6:$A$105,0))</x:f>
        <x:v>普通</x:v>
      </x:c>
      <x:c r="E79" s="24" t="n">
        <x:f>IF($B$6="有效",ROUND(INDEX('怪物总表'!$G$6:$G$105,MATCH(A79,'怪物总表'!$A$6:$A$105,0))*$B$5*$H$5*IF(D79="精英",$B$125,1),0),"输入无效")</x:f>
        <x:v>46</x:v>
      </x:c>
      <x:c r="F79" s="24" t="n">
        <x:f>IF($B$6="有效",ROUND(INDEX('怪物总表'!$H$6:$H$105,MATCH(A79,'怪物总表'!$A$6:$A$105,0))*$E$5*$K$5*IF(D79="精英",$B$126,1),0),"输入无效")</x:f>
        <x:v>5</x:v>
      </x:c>
      <x:c r="G79" s="24" t="n">
        <x:f>IF($B$6="有效",ROUND(F79*INDEX('怪物总表'!$K$6:$K$105,MATCH(A79,'怪物总表'!$A$6:$A$105,0)),0),"输入无效")</x:f>
        <x:v>0</x:v>
      </x:c>
      <x:c r="H79" s="24" t="n">
        <x:f>IF($B$6="有效",ROUND(INDEX('怪物总表'!$I$6:$I$105,MATCH(A79,'怪物总表'!$A$6:$A$105,0))*$B$5,0),"输入无效")</x:f>
        <x:v>0</x:v>
      </x:c>
      <x:c r="I79" s="24" t="n">
        <x:f>IF($B$6="有效",ROUND(INDEX('怪物总表'!$J$6:$J$105,MATCH(A79,'怪物总表'!$A$6:$A$105,0))*$B$5,0),"输入无效")</x:f>
        <x:v>0</x:v>
      </x:c>
      <x:c r="J79" s="28" t="n">
        <x:f>INDEX('怪物总表'!$L$6:$L$105,MATCH(A79,'怪物总表'!$A$6:$A$105,0))*IF(D79="精英",$B$127,1)</x:f>
        <x:v>4.5</x:v>
      </x:c>
      <x:c r="K79" s="24" t="n">
        <x:f>1+INDEX('怪物总表'!$M$6:$M$105,MATCH(A79,'怪物总表'!$A$6:$A$105,0))</x:f>
        <x:v>1</x:v>
      </x:c>
      <x:c r="L79" s="24" t="n">
        <x:f>ROUND(INDEX('怪物总表'!$G$6:$G$105,MATCH(A79,'怪物总表'!$A$6:$A$105,0))*IF(INDEX('怪物总表'!$E$6:$E$105,MATCH(A79,'怪物总表'!$A$6:$A$105,0))=1,$B$128,$B$120*POWER($B$123,(INDEX('怪物总表'!$E$6:$E$105,MATCH(A79,'怪物总表'!$A$6:$A$105,0))-2)/$B$122))*IF(D79="精英",$B$125,1),0)</x:f>
        <x:v>107</x:v>
      </x:c>
    </x:row>
    <x:row r="80" ht="31.5" customHeight="1">
      <x:c r="A80" s="16" t="str">
        <x:v>MON_N072</x:v>
      </x:c>
      <x:c r="B80" s="16" t="str">
        <x:f>INDEX('怪物总表'!$B$6:$B$105,MATCH(A80,'怪物总表'!$A$6:$A$105,0))</x:f>
        <x:v>折线牵索</x:v>
      </x:c>
      <x:c r="C80" s="16" t="str">
        <x:f>IF($B$6="有效",IF(AND($B$4&gt;=INDEX('怪物总表'!$E$6:$E$105,MATCH(A80,'怪物总表'!$A$6:$A$105,0)),$E$4&gt;=INDEX('怪物总表'!$F$6:$F$105,MATCH(A80,'怪物总表'!$A$6:$A$105,0))),"已达门槛","未达门槛"),"输入无效")</x:f>
        <x:v>未达门槛</x:v>
      </x:c>
      <x:c r="D80" s="16" t="str">
        <x:f>INDEX('怪物总表'!$C$6:$C$105,MATCH(A80,'怪物总表'!$A$6:$A$105,0))</x:f>
        <x:v>普通</x:v>
      </x:c>
      <x:c r="E80" s="23" t="n">
        <x:f>IF($B$6="有效",ROUND(INDEX('怪物总表'!$G$6:$G$105,MATCH(A80,'怪物总表'!$A$6:$A$105,0))*$B$5*$H$5*IF(D80="精英",$B$125,1),0),"输入无效")</x:f>
        <x:v>48</x:v>
      </x:c>
      <x:c r="F80" s="23" t="n">
        <x:f>IF($B$6="有效",ROUND(INDEX('怪物总表'!$H$6:$H$105,MATCH(A80,'怪物总表'!$A$6:$A$105,0))*$E$5*$K$5*IF(D80="精英",$B$126,1),0),"输入无效")</x:f>
        <x:v>4</x:v>
      </x:c>
      <x:c r="G80" s="23" t="n">
        <x:f>IF($B$6="有效",ROUND(F80*INDEX('怪物总表'!$K$6:$K$105,MATCH(A80,'怪物总表'!$A$6:$A$105,0)),0),"输入无效")</x:f>
        <x:v>0</x:v>
      </x:c>
      <x:c r="H80" s="23" t="n">
        <x:f>IF($B$6="有效",ROUND(INDEX('怪物总表'!$I$6:$I$105,MATCH(A80,'怪物总表'!$A$6:$A$105,0))*$B$5,0),"输入无效")</x:f>
        <x:v>0</x:v>
      </x:c>
      <x:c r="I80" s="23" t="n">
        <x:f>IF($B$6="有效",ROUND(INDEX('怪物总表'!$J$6:$J$105,MATCH(A80,'怪物总表'!$A$6:$A$105,0))*$B$5,0),"输入无效")</x:f>
        <x:v>0</x:v>
      </x:c>
      <x:c r="J80" s="27" t="n">
        <x:f>INDEX('怪物总表'!$L$6:$L$105,MATCH(A80,'怪物总表'!$A$6:$A$105,0))*IF(D80="精英",$B$127,1)</x:f>
        <x:v>5</x:v>
      </x:c>
      <x:c r="K80" s="23" t="n">
        <x:f>1+INDEX('怪物总表'!$M$6:$M$105,MATCH(A80,'怪物总表'!$A$6:$A$105,0))</x:f>
        <x:v>1</x:v>
      </x:c>
      <x:c r="L80" s="23" t="n">
        <x:f>ROUND(INDEX('怪物总表'!$G$6:$G$105,MATCH(A80,'怪物总表'!$A$6:$A$105,0))*IF(INDEX('怪物总表'!$E$6:$E$105,MATCH(A80,'怪物总表'!$A$6:$A$105,0))=1,$B$128,$B$120*POWER($B$123,(INDEX('怪物总表'!$E$6:$E$105,MATCH(A80,'怪物总表'!$A$6:$A$105,0))-2)/$B$122))*IF(D80="精英",$B$125,1),0)</x:f>
        <x:v>125</x:v>
      </x:c>
    </x:row>
    <x:row r="81" ht="31.5" customHeight="1">
      <x:c r="A81" s="14" t="str">
        <x:v>MON_N073</x:v>
      </x:c>
      <x:c r="B81" s="14" t="str">
        <x:f>INDEX('怪物总表'!$B$6:$B$105,MATCH(A81,'怪物总表'!$A$6:$A$105,0))</x:f>
        <x:v>垒墙晶匠</x:v>
      </x:c>
      <x:c r="C81" s="14" t="str">
        <x:f>IF($B$6="有效",IF(AND($B$4&gt;=INDEX('怪物总表'!$E$6:$E$105,MATCH(A81,'怪物总表'!$A$6:$A$105,0)),$E$4&gt;=INDEX('怪物总表'!$F$6:$F$105,MATCH(A81,'怪物总表'!$A$6:$A$105,0))),"已达门槛","未达门槛"),"输入无效")</x:f>
        <x:v>未达门槛</x:v>
      </x:c>
      <x:c r="D81" s="14" t="str">
        <x:f>INDEX('怪物总表'!$C$6:$C$105,MATCH(A81,'怪物总表'!$A$6:$A$105,0))</x:f>
        <x:v>普通</x:v>
      </x:c>
      <x:c r="E81" s="24" t="n">
        <x:f>IF($B$6="有效",ROUND(INDEX('怪物总表'!$G$6:$G$105,MATCH(A81,'怪物总表'!$A$6:$A$105,0))*$B$5*$H$5*IF(D81="精英",$B$125,1),0),"输入无效")</x:f>
        <x:v>58</x:v>
      </x:c>
      <x:c r="F81" s="24" t="n">
        <x:f>IF($B$6="有效",ROUND(INDEX('怪物总表'!$H$6:$H$105,MATCH(A81,'怪物总表'!$A$6:$A$105,0))*$E$5*$K$5*IF(D81="精英",$B$126,1),0),"输入无效")</x:f>
        <x:v>4</x:v>
      </x:c>
      <x:c r="G81" s="24" t="n">
        <x:f>IF($B$6="有效",ROUND(F81*INDEX('怪物总表'!$K$6:$K$105,MATCH(A81,'怪物总表'!$A$6:$A$105,0)),0),"输入无效")</x:f>
        <x:v>0</x:v>
      </x:c>
      <x:c r="H81" s="24" t="n">
        <x:f>IF($B$6="有效",ROUND(INDEX('怪物总表'!$I$6:$I$105,MATCH(A81,'怪物总表'!$A$6:$A$105,0))*$B$5,0),"输入无效")</x:f>
        <x:v>0</x:v>
      </x:c>
      <x:c r="I81" s="24" t="n">
        <x:f>IF($B$6="有效",ROUND(INDEX('怪物总表'!$J$6:$J$105,MATCH(A81,'怪物总表'!$A$6:$A$105,0))*$B$5,0),"输入无效")</x:f>
        <x:v>0</x:v>
      </x:c>
      <x:c r="J81" s="28" t="n">
        <x:f>INDEX('怪物总表'!$L$6:$L$105,MATCH(A81,'怪物总表'!$A$6:$A$105,0))*IF(D81="精英",$B$127,1)</x:f>
        <x:v>4.5</x:v>
      </x:c>
      <x:c r="K81" s="24" t="n">
        <x:f>1+INDEX('怪物总表'!$M$6:$M$105,MATCH(A81,'怪物总表'!$A$6:$A$105,0))</x:f>
        <x:v>3</x:v>
      </x:c>
      <x:c r="L81" s="24" t="n">
        <x:f>ROUND(INDEX('怪物总表'!$G$6:$G$105,MATCH(A81,'怪物总表'!$A$6:$A$105,0))*IF(INDEX('怪物总表'!$E$6:$E$105,MATCH(A81,'怪物总表'!$A$6:$A$105,0))=1,$B$128,$B$120*POWER($B$123,(INDEX('怪物总表'!$E$6:$E$105,MATCH(A81,'怪物总表'!$A$6:$A$105,0))-2)/$B$122))*IF(D81="精英",$B$125,1),0)</x:f>
        <x:v>117</x:v>
      </x:c>
    </x:row>
    <x:row r="82" ht="31.5" customHeight="1">
      <x:c r="A82" s="16" t="str">
        <x:v>MON_N074</x:v>
      </x:c>
      <x:c r="B82" s="16" t="str">
        <x:f>INDEX('怪物总表'!$B$6:$B$105,MATCH(A82,'怪物总表'!$A$6:$A$105,0))</x:f>
        <x:v>双柱晶匠</x:v>
      </x:c>
      <x:c r="C82" s="16" t="str">
        <x:f>IF($B$6="有效",IF(AND($B$4&gt;=INDEX('怪物总表'!$E$6:$E$105,MATCH(A82,'怪物总表'!$A$6:$A$105,0)),$E$4&gt;=INDEX('怪物总表'!$F$6:$F$105,MATCH(A82,'怪物总表'!$A$6:$A$105,0))),"已达门槛","未达门槛"),"输入无效")</x:f>
        <x:v>未达门槛</x:v>
      </x:c>
      <x:c r="D82" s="16" t="str">
        <x:f>INDEX('怪物总表'!$C$6:$C$105,MATCH(A82,'怪物总表'!$A$6:$A$105,0))</x:f>
        <x:v>普通</x:v>
      </x:c>
      <x:c r="E82" s="23" t="n">
        <x:f>IF($B$6="有效",ROUND(INDEX('怪物总表'!$G$6:$G$105,MATCH(A82,'怪物总表'!$A$6:$A$105,0))*$B$5*$H$5*IF(D82="精英",$B$125,1),0),"输入无效")</x:f>
        <x:v>62</x:v>
      </x:c>
      <x:c r="F82" s="23" t="n">
        <x:f>IF($B$6="有效",ROUND(INDEX('怪物总表'!$H$6:$H$105,MATCH(A82,'怪物总表'!$A$6:$A$105,0))*$E$5*$K$5*IF(D82="精英",$B$126,1),0),"输入无效")</x:f>
        <x:v>4</x:v>
      </x:c>
      <x:c r="G82" s="23" t="n">
        <x:f>IF($B$6="有效",ROUND(F82*INDEX('怪物总表'!$K$6:$K$105,MATCH(A82,'怪物总表'!$A$6:$A$105,0)),0),"输入无效")</x:f>
        <x:v>0</x:v>
      </x:c>
      <x:c r="H82" s="23" t="n">
        <x:f>IF($B$6="有效",ROUND(INDEX('怪物总表'!$I$6:$I$105,MATCH(A82,'怪物总表'!$A$6:$A$105,0))*$B$5,0),"输入无效")</x:f>
        <x:v>0</x:v>
      </x:c>
      <x:c r="I82" s="23" t="n">
        <x:f>IF($B$6="有效",ROUND(INDEX('怪物总表'!$J$6:$J$105,MATCH(A82,'怪物总表'!$A$6:$A$105,0))*$B$5,0),"输入无效")</x:f>
        <x:v>0</x:v>
      </x:c>
      <x:c r="J82" s="27" t="n">
        <x:f>INDEX('怪物总表'!$L$6:$L$105,MATCH(A82,'怪物总表'!$A$6:$A$105,0))*IF(D82="精英",$B$127,1)</x:f>
        <x:v>5</x:v>
      </x:c>
      <x:c r="K82" s="23" t="n">
        <x:f>1+INDEX('怪物总表'!$M$6:$M$105,MATCH(A82,'怪物总表'!$A$6:$A$105,0))</x:f>
        <x:v>3</x:v>
      </x:c>
      <x:c r="L82" s="23" t="n">
        <x:f>ROUND(INDEX('怪物总表'!$G$6:$G$105,MATCH(A82,'怪物总表'!$A$6:$A$105,0))*IF(INDEX('怪物总表'!$E$6:$E$105,MATCH(A82,'怪物总表'!$A$6:$A$105,0))=1,$B$128,$B$120*POWER($B$123,(INDEX('怪物总表'!$E$6:$E$105,MATCH(A82,'怪物总表'!$A$6:$A$105,0))-2)/$B$122))*IF(D82="精英",$B$125,1),0)</x:f>
        <x:v>134</x:v>
      </x:c>
    </x:row>
    <x:row r="83" ht="31.5" customHeight="1">
      <x:c r="A83" s="14" t="str">
        <x:v>MON_N075</x:v>
      </x:c>
      <x:c r="B83" s="14" t="str">
        <x:f>INDEX('怪物总表'!$B$6:$B$105,MATCH(A83,'怪物总表'!$A$6:$A$105,0))</x:f>
        <x:v>轮门筑匠</x:v>
      </x:c>
      <x:c r="C83" s="14" t="str">
        <x:f>IF($B$6="有效",IF(AND($B$4&gt;=INDEX('怪物总表'!$E$6:$E$105,MATCH(A83,'怪物总表'!$A$6:$A$105,0)),$E$4&gt;=INDEX('怪物总表'!$F$6:$F$105,MATCH(A83,'怪物总表'!$A$6:$A$105,0))),"已达门槛","未达门槛"),"输入无效")</x:f>
        <x:v>未达门槛</x:v>
      </x:c>
      <x:c r="D83" s="14" t="str">
        <x:f>INDEX('怪物总表'!$C$6:$C$105,MATCH(A83,'怪物总表'!$A$6:$A$105,0))</x:f>
        <x:v>普通</x:v>
      </x:c>
      <x:c r="E83" s="24" t="n">
        <x:f>IF($B$6="有效",ROUND(INDEX('怪物总表'!$G$6:$G$105,MATCH(A83,'怪物总表'!$A$6:$A$105,0))*$B$5*$H$5*IF(D83="精英",$B$125,1),0),"输入无效")</x:f>
        <x:v>54</x:v>
      </x:c>
      <x:c r="F83" s="24" t="n">
        <x:f>IF($B$6="有效",ROUND(INDEX('怪物总表'!$H$6:$H$105,MATCH(A83,'怪物总表'!$A$6:$A$105,0))*$E$5*$K$5*IF(D83="精英",$B$126,1),0),"输入无效")</x:f>
        <x:v>5</x:v>
      </x:c>
      <x:c r="G83" s="24" t="n">
        <x:f>IF($B$6="有效",ROUND(F83*INDEX('怪物总表'!$K$6:$K$105,MATCH(A83,'怪物总表'!$A$6:$A$105,0)),0),"输入无效")</x:f>
        <x:v>0</x:v>
      </x:c>
      <x:c r="H83" s="24" t="n">
        <x:f>IF($B$6="有效",ROUND(INDEX('怪物总表'!$I$6:$I$105,MATCH(A83,'怪物总表'!$A$6:$A$105,0))*$B$5,0),"输入无效")</x:f>
        <x:v>0</x:v>
      </x:c>
      <x:c r="I83" s="24" t="n">
        <x:f>IF($B$6="有效",ROUND(INDEX('怪物总表'!$J$6:$J$105,MATCH(A83,'怪物总表'!$A$6:$A$105,0))*$B$5,0),"输入无效")</x:f>
        <x:v>0</x:v>
      </x:c>
      <x:c r="J83" s="28" t="n">
        <x:f>INDEX('怪物总表'!$L$6:$L$105,MATCH(A83,'怪物总表'!$A$6:$A$105,0))*IF(D83="精英",$B$127,1)</x:f>
        <x:v>4.5</x:v>
      </x:c>
      <x:c r="K83" s="24" t="n">
        <x:f>1+INDEX('怪物总表'!$M$6:$M$105,MATCH(A83,'怪物总表'!$A$6:$A$105,0))</x:f>
        <x:v>3</x:v>
      </x:c>
      <x:c r="L83" s="24" t="n">
        <x:f>ROUND(INDEX('怪物总表'!$G$6:$G$105,MATCH(A83,'怪物总表'!$A$6:$A$105,0))*IF(INDEX('怪物总表'!$E$6:$E$105,MATCH(A83,'怪物总表'!$A$6:$A$105,0))=1,$B$128,$B$120*POWER($B$123,(INDEX('怪物总表'!$E$6:$E$105,MATCH(A83,'怪物总表'!$A$6:$A$105,0))-2)/$B$122))*IF(D83="精英",$B$125,1),0)</x:f>
        <x:v>130</x:v>
      </x:c>
    </x:row>
    <x:row r="84" ht="31.5" customHeight="1">
      <x:c r="A84" s="16" t="str">
        <x:v>MON_N076</x:v>
      </x:c>
      <x:c r="B84" s="16" t="str">
        <x:f>INDEX('怪物总表'!$B$6:$B$105,MATCH(A84,'怪物总表'!$A$6:$A$105,0))</x:f>
        <x:v>护巢筑匠</x:v>
      </x:c>
      <x:c r="C84" s="16" t="str">
        <x:f>IF($B$6="有效",IF(AND($B$4&gt;=INDEX('怪物总表'!$E$6:$E$105,MATCH(A84,'怪物总表'!$A$6:$A$105,0)),$E$4&gt;=INDEX('怪物总表'!$F$6:$F$105,MATCH(A84,'怪物总表'!$A$6:$A$105,0))),"已达门槛","未达门槛"),"输入无效")</x:f>
        <x:v>未达门槛</x:v>
      </x:c>
      <x:c r="D84" s="16" t="str">
        <x:f>INDEX('怪物总表'!$C$6:$C$105,MATCH(A84,'怪物总表'!$A$6:$A$105,0))</x:f>
        <x:v>普通</x:v>
      </x:c>
      <x:c r="E84" s="23" t="n">
        <x:f>IF($B$6="有效",ROUND(INDEX('怪物总表'!$G$6:$G$105,MATCH(A84,'怪物总表'!$A$6:$A$105,0))*$B$5*$H$5*IF(D84="精英",$B$125,1),0),"输入无效")</x:f>
        <x:v>50</x:v>
      </x:c>
      <x:c r="F84" s="23" t="n">
        <x:f>IF($B$6="有效",ROUND(INDEX('怪物总表'!$H$6:$H$105,MATCH(A84,'怪物总表'!$A$6:$A$105,0))*$E$5*$K$5*IF(D84="精英",$B$126,1),0),"输入无效")</x:f>
        <x:v>4</x:v>
      </x:c>
      <x:c r="G84" s="23" t="n">
        <x:f>IF($B$6="有效",ROUND(F84*INDEX('怪物总表'!$K$6:$K$105,MATCH(A84,'怪物总表'!$A$6:$A$105,0)),0),"输入无效")</x:f>
        <x:v>0</x:v>
      </x:c>
      <x:c r="H84" s="23" t="n">
        <x:f>IF($B$6="有效",ROUND(INDEX('怪物总表'!$I$6:$I$105,MATCH(A84,'怪物总表'!$A$6:$A$105,0))*$B$5,0),"输入无效")</x:f>
        <x:v>0</x:v>
      </x:c>
      <x:c r="I84" s="23" t="n">
        <x:f>IF($B$6="有效",ROUND(INDEX('怪物总表'!$J$6:$J$105,MATCH(A84,'怪物总表'!$A$6:$A$105,0))*$B$5,0),"输入无效")</x:f>
        <x:v>0</x:v>
      </x:c>
      <x:c r="J84" s="27" t="n">
        <x:f>INDEX('怪物总表'!$L$6:$L$105,MATCH(A84,'怪物总表'!$A$6:$A$105,0))*IF(D84="精英",$B$127,1)</x:f>
        <x:v>4</x:v>
      </x:c>
      <x:c r="K84" s="23" t="n">
        <x:f>1+INDEX('怪物总表'!$M$6:$M$105,MATCH(A84,'怪物总表'!$A$6:$A$105,0))</x:f>
        <x:v>3</x:v>
      </x:c>
      <x:c r="L84" s="23" t="n">
        <x:f>ROUND(INDEX('怪物总表'!$G$6:$G$105,MATCH(A84,'怪物总表'!$A$6:$A$105,0))*IF(INDEX('怪物总表'!$E$6:$E$105,MATCH(A84,'怪物总表'!$A$6:$A$105,0))=1,$B$128,$B$120*POWER($B$123,(INDEX('怪物总表'!$E$6:$E$105,MATCH(A84,'怪物总表'!$A$6:$A$105,0))-2)/$B$122))*IF(D84="精英",$B$125,1),0)</x:f>
        <x:v>135</x:v>
      </x:c>
    </x:row>
    <x:row r="85" ht="31.5" customHeight="1">
      <x:c r="A85" s="14" t="str">
        <x:v>MON_N077</x:v>
      </x:c>
      <x:c r="B85" s="14" t="str">
        <x:f>INDEX('怪物总表'!$B$6:$B$105,MATCH(A85,'怪物总表'!$A$6:$A$105,0))</x:f>
        <x:v>蓄炮晶塔</x:v>
      </x:c>
      <x:c r="C85" s="14" t="str">
        <x:f>IF($B$6="有效",IF(AND($B$4&gt;=INDEX('怪物总表'!$E$6:$E$105,MATCH(A85,'怪物总表'!$A$6:$A$105,0)),$E$4&gt;=INDEX('怪物总表'!$F$6:$F$105,MATCH(A85,'怪物总表'!$A$6:$A$105,0))),"已达门槛","未达门槛"),"输入无效")</x:f>
        <x:v>未达门槛</x:v>
      </x:c>
      <x:c r="D85" s="14" t="str">
        <x:f>INDEX('怪物总表'!$C$6:$C$105,MATCH(A85,'怪物总表'!$A$6:$A$105,0))</x:f>
        <x:v>普通</x:v>
      </x:c>
      <x:c r="E85" s="24" t="n">
        <x:f>IF($B$6="有效",ROUND(INDEX('怪物总表'!$G$6:$G$105,MATCH(A85,'怪物总表'!$A$6:$A$105,0))*$B$5*$H$5*IF(D85="精英",$B$125,1),0),"输入无效")</x:f>
        <x:v>84</x:v>
      </x:c>
      <x:c r="F85" s="24" t="n">
        <x:f>IF($B$6="有效",ROUND(INDEX('怪物总表'!$H$6:$H$105,MATCH(A85,'怪物总表'!$A$6:$A$105,0))*$E$5*$K$5*IF(D85="精英",$B$126,1),0),"输入无效")</x:f>
        <x:v>11</x:v>
      </x:c>
      <x:c r="G85" s="24" t="n">
        <x:f>IF($B$6="有效",ROUND(F85*INDEX('怪物总表'!$K$6:$K$105,MATCH(A85,'怪物总表'!$A$6:$A$105,0)),0),"输入无效")</x:f>
        <x:v>20</x:v>
      </x:c>
      <x:c r="H85" s="24" t="n">
        <x:f>IF($B$6="有效",ROUND(INDEX('怪物总表'!$I$6:$I$105,MATCH(A85,'怪物总表'!$A$6:$A$105,0))*$B$5,0),"输入无效")</x:f>
        <x:v>0</x:v>
      </x:c>
      <x:c r="I85" s="24" t="n">
        <x:f>IF($B$6="有效",ROUND(INDEX('怪物总表'!$J$6:$J$105,MATCH(A85,'怪物总表'!$A$6:$A$105,0))*$B$5,0),"输入无效")</x:f>
        <x:v>0</x:v>
      </x:c>
      <x:c r="J85" s="28" t="n">
        <x:f>INDEX('怪物总表'!$L$6:$L$105,MATCH(A85,'怪物总表'!$A$6:$A$105,0))*IF(D85="精英",$B$127,1)</x:f>
        <x:v>5</x:v>
      </x:c>
      <x:c r="K85" s="24" t="n">
        <x:f>1+INDEX('怪物总表'!$M$6:$M$105,MATCH(A85,'怪物总表'!$A$6:$A$105,0))</x:f>
        <x:v>1</x:v>
      </x:c>
      <x:c r="L85" s="24" t="n">
        <x:f>ROUND(INDEX('怪物总表'!$G$6:$G$105,MATCH(A85,'怪物总表'!$A$6:$A$105,0))*IF(INDEX('怪物总表'!$E$6:$E$105,MATCH(A85,'怪物总表'!$A$6:$A$105,0))=1,$B$128,$B$120*POWER($B$123,(INDEX('怪物总表'!$E$6:$E$105,MATCH(A85,'怪物总表'!$A$6:$A$105,0))-2)/$B$122))*IF(D85="精英",$B$125,1),0)</x:f>
        <x:v>175</x:v>
      </x:c>
    </x:row>
    <x:row r="86" ht="31.5" customHeight="1">
      <x:c r="A86" s="16" t="str">
        <x:v>MON_N078</x:v>
      </x:c>
      <x:c r="B86" s="16" t="str">
        <x:f>INDEX('怪物总表'!$B$6:$B$105,MATCH(A86,'怪物总表'!$A$6:$A$105,0))</x:f>
        <x:v>十字炮簇</x:v>
      </x:c>
      <x:c r="C86" s="16" t="str">
        <x:f>IF($B$6="有效",IF(AND($B$4&gt;=INDEX('怪物总表'!$E$6:$E$105,MATCH(A86,'怪物总表'!$A$6:$A$105,0)),$E$4&gt;=INDEX('怪物总表'!$F$6:$F$105,MATCH(A86,'怪物总表'!$A$6:$A$105,0))),"已达门槛","未达门槛"),"输入无效")</x:f>
        <x:v>未达门槛</x:v>
      </x:c>
      <x:c r="D86" s="16" t="str">
        <x:f>INDEX('怪物总表'!$C$6:$C$105,MATCH(A86,'怪物总表'!$A$6:$A$105,0))</x:f>
        <x:v>普通</x:v>
      </x:c>
      <x:c r="E86" s="23" t="n">
        <x:f>IF($B$6="有效",ROUND(INDEX('怪物总表'!$G$6:$G$105,MATCH(A86,'怪物总表'!$A$6:$A$105,0))*$B$5*$H$5*IF(D86="精英",$B$125,1),0),"输入无效")</x:f>
        <x:v>92</x:v>
      </x:c>
      <x:c r="F86" s="23" t="n">
        <x:f>IF($B$6="有效",ROUND(INDEX('怪物总表'!$H$6:$H$105,MATCH(A86,'怪物总表'!$A$6:$A$105,0))*$E$5*$K$5*IF(D86="精英",$B$126,1),0),"输入无效")</x:f>
        <x:v>9</x:v>
      </x:c>
      <x:c r="G86" s="23" t="n">
        <x:f>IF($B$6="有效",ROUND(F86*INDEX('怪物总表'!$K$6:$K$105,MATCH(A86,'怪物总表'!$A$6:$A$105,0)),0),"输入无效")</x:f>
        <x:v>13</x:v>
      </x:c>
      <x:c r="H86" s="23" t="n">
        <x:f>IF($B$6="有效",ROUND(INDEX('怪物总表'!$I$6:$I$105,MATCH(A86,'怪物总表'!$A$6:$A$105,0))*$B$5,0),"输入无效")</x:f>
        <x:v>0</x:v>
      </x:c>
      <x:c r="I86" s="23" t="n">
        <x:f>IF($B$6="有效",ROUND(INDEX('怪物总表'!$J$6:$J$105,MATCH(A86,'怪物总表'!$A$6:$A$105,0))*$B$5,0),"输入无效")</x:f>
        <x:v>0</x:v>
      </x:c>
      <x:c r="J86" s="27" t="n">
        <x:f>INDEX('怪物总表'!$L$6:$L$105,MATCH(A86,'怪物总表'!$A$6:$A$105,0))*IF(D86="精英",$B$127,1)</x:f>
        <x:v>5.5</x:v>
      </x:c>
      <x:c r="K86" s="23" t="n">
        <x:f>1+INDEX('怪物总表'!$M$6:$M$105,MATCH(A86,'怪物总表'!$A$6:$A$105,0))</x:f>
        <x:v>1</x:v>
      </x:c>
      <x:c r="L86" s="23" t="n">
        <x:f>ROUND(INDEX('怪物总表'!$G$6:$G$105,MATCH(A86,'怪物总表'!$A$6:$A$105,0))*IF(INDEX('怪物总表'!$E$6:$E$105,MATCH(A86,'怪物总表'!$A$6:$A$105,0))=1,$B$128,$B$120*POWER($B$123,(INDEX('怪物总表'!$E$6:$E$105,MATCH(A86,'怪物总表'!$A$6:$A$105,0))-2)/$B$122))*IF(D86="精英",$B$125,1),0)</x:f>
        <x:v>207</x:v>
      </x:c>
    </x:row>
    <x:row r="87" ht="31.5" customHeight="1">
      <x:c r="A87" s="14" t="str">
        <x:v>MON_N079</x:v>
      </x:c>
      <x:c r="B87" s="14" t="str">
        <x:f>INDEX('怪物总表'!$B$6:$B$105,MATCH(A87,'怪物总表'!$A$6:$A$105,0))</x:f>
        <x:v>空心蓄炮者</x:v>
      </x:c>
      <x:c r="C87" s="14" t="str">
        <x:f>IF($B$6="有效",IF(AND($B$4&gt;=INDEX('怪物总表'!$E$6:$E$105,MATCH(A87,'怪物总表'!$A$6:$A$105,0)),$E$4&gt;=INDEX('怪物总表'!$F$6:$F$105,MATCH(A87,'怪物总表'!$A$6:$A$105,0))),"已达门槛","未达门槛"),"输入无效")</x:f>
        <x:v>未达门槛</x:v>
      </x:c>
      <x:c r="D87" s="14" t="str">
        <x:f>INDEX('怪物总表'!$C$6:$C$105,MATCH(A87,'怪物总表'!$A$6:$A$105,0))</x:f>
        <x:v>普通</x:v>
      </x:c>
      <x:c r="E87" s="24" t="n">
        <x:f>IF($B$6="有效",ROUND(INDEX('怪物总表'!$G$6:$G$105,MATCH(A87,'怪物总表'!$A$6:$A$105,0))*$B$5*$H$5*IF(D87="精英",$B$125,1),0),"输入无效")</x:f>
        <x:v>78</x:v>
      </x:c>
      <x:c r="F87" s="24" t="n">
        <x:f>IF($B$6="有效",ROUND(INDEX('怪物总表'!$H$6:$H$105,MATCH(A87,'怪物总表'!$A$6:$A$105,0))*$E$5*$K$5*IF(D87="精英",$B$126,1),0),"输入无效")</x:f>
        <x:v>10</x:v>
      </x:c>
      <x:c r="G87" s="24" t="n">
        <x:f>IF($B$6="有效",ROUND(F87*INDEX('怪物总表'!$K$6:$K$105,MATCH(A87,'怪物总表'!$A$6:$A$105,0)),0),"输入无效")</x:f>
        <x:v>16</x:v>
      </x:c>
      <x:c r="H87" s="24" t="n">
        <x:f>IF($B$6="有效",ROUND(INDEX('怪物总表'!$I$6:$I$105,MATCH(A87,'怪物总表'!$A$6:$A$105,0))*$B$5,0),"输入无效")</x:f>
        <x:v>0</x:v>
      </x:c>
      <x:c r="I87" s="24" t="n">
        <x:f>IF($B$6="有效",ROUND(INDEX('怪物总表'!$J$6:$J$105,MATCH(A87,'怪物总表'!$A$6:$A$105,0))*$B$5,0),"输入无效")</x:f>
        <x:v>0</x:v>
      </x:c>
      <x:c r="J87" s="28" t="n">
        <x:f>INDEX('怪物总表'!$L$6:$L$105,MATCH(A87,'怪物总表'!$A$6:$A$105,0))*IF(D87="精英",$B$127,1)</x:f>
        <x:v>5</x:v>
      </x:c>
      <x:c r="K87" s="24" t="n">
        <x:f>1+INDEX('怪物总表'!$M$6:$M$105,MATCH(A87,'怪物总表'!$A$6:$A$105,0))</x:f>
        <x:v>1</x:v>
      </x:c>
      <x:c r="L87" s="24" t="n">
        <x:f>ROUND(INDEX('怪物总表'!$G$6:$G$105,MATCH(A87,'怪物总表'!$A$6:$A$105,0))*IF(INDEX('怪物总表'!$E$6:$E$105,MATCH(A87,'怪物总表'!$A$6:$A$105,0))=1,$B$128,$B$120*POWER($B$123,(INDEX('怪物总表'!$E$6:$E$105,MATCH(A87,'怪物总表'!$A$6:$A$105,0))-2)/$B$122))*IF(D87="精英",$B$125,1),0)</x:f>
        <x:v>195</x:v>
      </x:c>
    </x:row>
    <x:row r="88" ht="31.5" customHeight="1">
      <x:c r="A88" s="16" t="str">
        <x:v>MON_N080</x:v>
      </x:c>
      <x:c r="B88" s="16" t="str">
        <x:f>INDEX('怪物总表'!$B$6:$B$105,MATCH(A88,'怪物总表'!$A$6:$A$105,0))</x:f>
        <x:v>双点蓄炮者</x:v>
      </x:c>
      <x:c r="C88" s="16" t="str">
        <x:f>IF($B$6="有效",IF(AND($B$4&gt;=INDEX('怪物总表'!$E$6:$E$105,MATCH(A88,'怪物总表'!$A$6:$A$105,0)),$E$4&gt;=INDEX('怪物总表'!$F$6:$F$105,MATCH(A88,'怪物总表'!$A$6:$A$105,0))),"已达门槛","未达门槛"),"输入无效")</x:f>
        <x:v>未达门槛</x:v>
      </x:c>
      <x:c r="D88" s="16" t="str">
        <x:f>INDEX('怪物总表'!$C$6:$C$105,MATCH(A88,'怪物总表'!$A$6:$A$105,0))</x:f>
        <x:v>普通</x:v>
      </x:c>
      <x:c r="E88" s="23" t="n">
        <x:f>IF($B$6="有效",ROUND(INDEX('怪物总表'!$G$6:$G$105,MATCH(A88,'怪物总表'!$A$6:$A$105,0))*$B$5*$H$5*IF(D88="精英",$B$125,1),0),"输入无效")</x:f>
        <x:v>86</x:v>
      </x:c>
      <x:c r="F88" s="23" t="n">
        <x:f>IF($B$6="有效",ROUND(INDEX('怪物总表'!$H$6:$H$105,MATCH(A88,'怪物总表'!$A$6:$A$105,0))*$E$5*$K$5*IF(D88="精英",$B$126,1),0),"输入无效")</x:f>
        <x:v>11</x:v>
      </x:c>
      <x:c r="G88" s="23" t="n">
        <x:f>IF($B$6="有效",ROUND(F88*INDEX('怪物总表'!$K$6:$K$105,MATCH(A88,'怪物总表'!$A$6:$A$105,0)),0),"输入无效")</x:f>
        <x:v>14</x:v>
      </x:c>
      <x:c r="H88" s="23" t="n">
        <x:f>IF($B$6="有效",ROUND(INDEX('怪物总表'!$I$6:$I$105,MATCH(A88,'怪物总表'!$A$6:$A$105,0))*$B$5,0),"输入无效")</x:f>
        <x:v>0</x:v>
      </x:c>
      <x:c r="I88" s="23" t="n">
        <x:f>IF($B$6="有效",ROUND(INDEX('怪物总表'!$J$6:$J$105,MATCH(A88,'怪物总表'!$A$6:$A$105,0))*$B$5,0),"输入无效")</x:f>
        <x:v>0</x:v>
      </x:c>
      <x:c r="J88" s="27" t="n">
        <x:f>INDEX('怪物总表'!$L$6:$L$105,MATCH(A88,'怪物总表'!$A$6:$A$105,0))*IF(D88="精英",$B$127,1)</x:f>
        <x:v>5.5</x:v>
      </x:c>
      <x:c r="K88" s="23" t="n">
        <x:f>1+INDEX('怪物总表'!$M$6:$M$105,MATCH(A88,'怪物总表'!$A$6:$A$105,0))</x:f>
        <x:v>1</x:v>
      </x:c>
      <x:c r="L88" s="23" t="n">
        <x:f>ROUND(INDEX('怪物总表'!$G$6:$G$105,MATCH(A88,'怪物总表'!$A$6:$A$105,0))*IF(INDEX('怪物总表'!$E$6:$E$105,MATCH(A88,'怪物总表'!$A$6:$A$105,0))=1,$B$128,$B$120*POWER($B$123,(INDEX('怪物总表'!$E$6:$E$105,MATCH(A88,'怪物总表'!$A$6:$A$105,0))-2)/$B$122))*IF(D88="精英",$B$125,1),0)</x:f>
        <x:v>240</x:v>
      </x:c>
    </x:row>
    <x:row r="89" ht="31.5" customHeight="1">
      <x:c r="A89" s="14" t="str">
        <x:v>MON_E001</x:v>
      </x:c>
      <x:c r="B89" s="14" t="str">
        <x:f>INDEX('怪物总表'!$B$6:$B$105,MATCH(A89,'怪物总表'!$A$6:$A$105,0))</x:f>
        <x:v>折路追刃王</x:v>
      </x:c>
      <x:c r="C89" s="14" t="str">
        <x:f>IF($B$6="有效",IF(AND($B$4&gt;=INDEX('怪物总表'!$E$6:$E$105,MATCH(A89,'怪物总表'!$A$6:$A$105,0)),$E$4&gt;=INDEX('怪物总表'!$F$6:$F$105,MATCH(A89,'怪物总表'!$A$6:$A$105,0))),"已达门槛","未达门槛"),"输入无效")</x:f>
        <x:v>未达门槛</x:v>
      </x:c>
      <x:c r="D89" s="14" t="str">
        <x:f>INDEX('怪物总表'!$C$6:$C$105,MATCH(A89,'怪物总表'!$A$6:$A$105,0))</x:f>
        <x:v>精英</x:v>
      </x:c>
      <x:c r="E89" s="24" t="n">
        <x:f>IF($B$6="有效",ROUND(INDEX('怪物总表'!$G$6:$G$105,MATCH(A89,'怪物总表'!$A$6:$A$105,0))*$B$5*$H$5*IF(D89="精英",$B$125,1),0),"输入无效")</x:f>
        <x:v>72</x:v>
      </x:c>
      <x:c r="F89" s="24" t="n">
        <x:f>IF($B$6="有效",ROUND(INDEX('怪物总表'!$H$6:$H$105,MATCH(A89,'怪物总表'!$A$6:$A$105,0))*$E$5*$K$5*IF(D89="精英",$B$126,1),0),"输入无效")</x:f>
        <x:v>7</x:v>
      </x:c>
      <x:c r="G89" s="24" t="n">
        <x:f>IF($B$6="有效",ROUND(F89*INDEX('怪物总表'!$K$6:$K$105,MATCH(A89,'怪物总表'!$A$6:$A$105,0)),0),"输入无效")</x:f>
        <x:v>7</x:v>
      </x:c>
      <x:c r="H89" s="24" t="n">
        <x:f>IF($B$6="有效",ROUND(INDEX('怪物总表'!$I$6:$I$105,MATCH(A89,'怪物总表'!$A$6:$A$105,0))*$B$5,0),"输入无效")</x:f>
        <x:v>0</x:v>
      </x:c>
      <x:c r="I89" s="24" t="n">
        <x:f>IF($B$6="有效",ROUND(INDEX('怪物总表'!$J$6:$J$105,MATCH(A89,'怪物总表'!$A$6:$A$105,0))*$B$5,0),"输入无效")</x:f>
        <x:v>0</x:v>
      </x:c>
      <x:c r="J89" s="28" t="n">
        <x:f>INDEX('怪物总表'!$L$6:$L$105,MATCH(A89,'怪物总表'!$A$6:$A$105,0))*IF(D89="精英",$B$127,1)</x:f>
        <x:v>3.2</x:v>
      </x:c>
      <x:c r="K89" s="24" t="n">
        <x:f>1+INDEX('怪物总表'!$M$6:$M$105,MATCH(A89,'怪物总表'!$A$6:$A$105,0))</x:f>
        <x:v>1</x:v>
      </x:c>
      <x:c r="L89" s="24" t="n">
        <x:f>ROUND(INDEX('怪物总表'!$G$6:$G$105,MATCH(A89,'怪物总表'!$A$6:$A$105,0))*IF(INDEX('怪物总表'!$E$6:$E$105,MATCH(A89,'怪物总表'!$A$6:$A$105,0))=1,$B$128,$B$120*POWER($B$123,(INDEX('怪物总表'!$E$6:$E$105,MATCH(A89,'怪物总表'!$A$6:$A$105,0))-2)/$B$122))*IF(D89="精英",$B$125,1),0)</x:f>
        <x:v>108</x:v>
      </x:c>
    </x:row>
    <x:row r="90" ht="31.5" customHeight="1">
      <x:c r="A90" s="16" t="str">
        <x:v>MON_E002</x:v>
      </x:c>
      <x:c r="B90" s="16" t="str">
        <x:f>INDEX('怪物总表'!$B$6:$B$105,MATCH(A90,'怪物总表'!$A$6:$A$105,0))</x:f>
        <x:v>归轨蛮牛王</x:v>
      </x:c>
      <x:c r="C90" s="16" t="str">
        <x:f>IF($B$6="有效",IF(AND($B$4&gt;=INDEX('怪物总表'!$E$6:$E$105,MATCH(A90,'怪物总表'!$A$6:$A$105,0)),$E$4&gt;=INDEX('怪物总表'!$F$6:$F$105,MATCH(A90,'怪物总表'!$A$6:$A$105,0))),"已达门槛","未达门槛"),"输入无效")</x:f>
        <x:v>未达门槛</x:v>
      </x:c>
      <x:c r="D90" s="16" t="str">
        <x:f>INDEX('怪物总表'!$C$6:$C$105,MATCH(A90,'怪物总表'!$A$6:$A$105,0))</x:f>
        <x:v>精英</x:v>
      </x:c>
      <x:c r="E90" s="23" t="n">
        <x:f>IF($B$6="有效",ROUND(INDEX('怪物总表'!$G$6:$G$105,MATCH(A90,'怪物总表'!$A$6:$A$105,0))*$B$5*$H$5*IF(D90="精英",$B$125,1),0),"输入无效")</x:f>
        <x:v>88</x:v>
      </x:c>
      <x:c r="F90" s="23" t="n">
        <x:f>IF($B$6="有效",ROUND(INDEX('怪物总表'!$H$6:$H$105,MATCH(A90,'怪物总表'!$A$6:$A$105,0))*$E$5*$K$5*IF(D90="精英",$B$126,1),0),"输入无效")</x:f>
        <x:v>9</x:v>
      </x:c>
      <x:c r="G90" s="23" t="n">
        <x:f>IF($B$6="有效",ROUND(F90*INDEX('怪物总表'!$K$6:$K$105,MATCH(A90,'怪物总表'!$A$6:$A$105,0)),0),"输入无效")</x:f>
        <x:v>9</x:v>
      </x:c>
      <x:c r="H90" s="23" t="n">
        <x:f>IF($B$6="有效",ROUND(INDEX('怪物总表'!$I$6:$I$105,MATCH(A90,'怪物总表'!$A$6:$A$105,0))*$B$5,0),"输入无效")</x:f>
        <x:v>0</x:v>
      </x:c>
      <x:c r="I90" s="23" t="n">
        <x:f>IF($B$6="有效",ROUND(INDEX('怪物总表'!$J$6:$J$105,MATCH(A90,'怪物总表'!$A$6:$A$105,0))*$B$5,0),"输入无效")</x:f>
        <x:v>0</x:v>
      </x:c>
      <x:c r="J90" s="27" t="n">
        <x:f>INDEX('怪物总表'!$L$6:$L$105,MATCH(A90,'怪物总表'!$A$6:$A$105,0))*IF(D90="精英",$B$127,1)</x:f>
        <x:v>4</x:v>
      </x:c>
      <x:c r="K90" s="23" t="n">
        <x:f>1+INDEX('怪物总表'!$M$6:$M$105,MATCH(A90,'怪物总表'!$A$6:$A$105,0))</x:f>
        <x:v>1</x:v>
      </x:c>
      <x:c r="L90" s="23" t="n">
        <x:f>ROUND(INDEX('怪物总表'!$G$6:$G$105,MATCH(A90,'怪物总表'!$A$6:$A$105,0))*IF(INDEX('怪物总表'!$E$6:$E$105,MATCH(A90,'怪物总表'!$A$6:$A$105,0))=1,$B$128,$B$120*POWER($B$123,(INDEX('怪物总表'!$E$6:$E$105,MATCH(A90,'怪物总表'!$A$6:$A$105,0))-2)/$B$122))*IF(D90="精英",$B$125,1),0)</x:f>
        <x:v>137</x:v>
      </x:c>
    </x:row>
    <x:row r="91" ht="31.5" customHeight="1">
      <x:c r="A91" s="14" t="str">
        <x:v>MON_E003</x:v>
      </x:c>
      <x:c r="B91" s="14" t="str">
        <x:f>INDEX('怪物总表'!$B$6:$B$105,MATCH(A91,'怪物总表'!$A$6:$A$105,0))</x:f>
        <x:v>复响定锤王</x:v>
      </x:c>
      <x:c r="C91" s="14" t="str">
        <x:f>IF($B$6="有效",IF(AND($B$4&gt;=INDEX('怪物总表'!$E$6:$E$105,MATCH(A91,'怪物总表'!$A$6:$A$105,0)),$E$4&gt;=INDEX('怪物总表'!$F$6:$F$105,MATCH(A91,'怪物总表'!$A$6:$A$105,0))),"已达门槛","未达门槛"),"输入无效")</x:f>
        <x:v>未达门槛</x:v>
      </x:c>
      <x:c r="D91" s="14" t="str">
        <x:f>INDEX('怪物总表'!$C$6:$C$105,MATCH(A91,'怪物总表'!$A$6:$A$105,0))</x:f>
        <x:v>精英</x:v>
      </x:c>
      <x:c r="E91" s="24" t="n">
        <x:f>IF($B$6="有效",ROUND(INDEX('怪物总表'!$G$6:$G$105,MATCH(A91,'怪物总表'!$A$6:$A$105,0))*$B$5*$H$5*IF(D91="精英",$B$125,1),0),"输入无效")</x:f>
        <x:v>128</x:v>
      </x:c>
      <x:c r="F91" s="24" t="n">
        <x:f>IF($B$6="有效",ROUND(INDEX('怪物总表'!$H$6:$H$105,MATCH(A91,'怪物总表'!$A$6:$A$105,0))*$E$5*$K$5*IF(D91="精英",$B$126,1),0),"输入无效")</x:f>
        <x:v>11</x:v>
      </x:c>
      <x:c r="G91" s="24" t="n">
        <x:f>IF($B$6="有效",ROUND(F91*INDEX('怪物总表'!$K$6:$K$105,MATCH(A91,'怪物总表'!$A$6:$A$105,0)),0),"输入无效")</x:f>
        <x:v>17</x:v>
      </x:c>
      <x:c r="H91" s="24" t="n">
        <x:f>IF($B$6="有效",ROUND(INDEX('怪物总表'!$I$6:$I$105,MATCH(A91,'怪物总表'!$A$6:$A$105,0))*$B$5,0),"输入无效")</x:f>
        <x:v>0</x:v>
      </x:c>
      <x:c r="I91" s="24" t="n">
        <x:f>IF($B$6="有效",ROUND(INDEX('怪物总表'!$J$6:$J$105,MATCH(A91,'怪物总表'!$A$6:$A$105,0))*$B$5,0),"输入无效")</x:f>
        <x:v>0</x:v>
      </x:c>
      <x:c r="J91" s="28" t="n">
        <x:f>INDEX('怪物总表'!$L$6:$L$105,MATCH(A91,'怪物总表'!$A$6:$A$105,0))*IF(D91="精英",$B$127,1)</x:f>
        <x:v>5.6000000000000005</x:v>
      </x:c>
      <x:c r="K91" s="24" t="n">
        <x:f>1+INDEX('怪物总表'!$M$6:$M$105,MATCH(A91,'怪物总表'!$A$6:$A$105,0))</x:f>
        <x:v>1</x:v>
      </x:c>
      <x:c r="L91" s="24" t="n">
        <x:f>ROUND(INDEX('怪物总表'!$G$6:$G$105,MATCH(A91,'怪物总表'!$A$6:$A$105,0))*IF(INDEX('怪物总表'!$E$6:$E$105,MATCH(A91,'怪物总表'!$A$6:$A$105,0))=1,$B$128,$B$120*POWER($B$123,(INDEX('怪物总表'!$E$6:$E$105,MATCH(A91,'怪物总表'!$A$6:$A$105,0))-2)/$B$122))*IF(D91="精英",$B$125,1),0)</x:f>
        <x:v>207</x:v>
      </x:c>
    </x:row>
    <x:row r="92" ht="31.5" customHeight="1">
      <x:c r="A92" s="16" t="str">
        <x:v>MON_E004</x:v>
      </x:c>
      <x:c r="B92" s="16" t="str">
        <x:f>INDEX('怪物总表'!$B$6:$B$105,MATCH(A92,'怪物总表'!$A$6:$A$105,0))</x:f>
        <x:v>十字目枪王</x:v>
      </x:c>
      <x:c r="C92" s="16" t="str">
        <x:f>IF($B$6="有效",IF(AND($B$4&gt;=INDEX('怪物总表'!$E$6:$E$105,MATCH(A92,'怪物总表'!$A$6:$A$105,0)),$E$4&gt;=INDEX('怪物总表'!$F$6:$F$105,MATCH(A92,'怪物总表'!$A$6:$A$105,0))),"已达门槛","未达门槛"),"输入无效")</x:f>
        <x:v>未达门槛</x:v>
      </x:c>
      <x:c r="D92" s="16" t="str">
        <x:f>INDEX('怪物总表'!$C$6:$C$105,MATCH(A92,'怪物总表'!$A$6:$A$105,0))</x:f>
        <x:v>精英</x:v>
      </x:c>
      <x:c r="E92" s="23" t="n">
        <x:f>IF($B$6="有效",ROUND(INDEX('怪物总表'!$G$6:$G$105,MATCH(A92,'怪物总表'!$A$6:$A$105,0))*$B$5*$H$5*IF(D92="精英",$B$125,1),0),"输入无效")</x:f>
        <x:v>56</x:v>
      </x:c>
      <x:c r="F92" s="23" t="n">
        <x:f>IF($B$6="有效",ROUND(INDEX('怪物总表'!$H$6:$H$105,MATCH(A92,'怪物总表'!$A$6:$A$105,0))*$E$5*$K$5*IF(D92="精英",$B$126,1),0),"输入无效")</x:f>
        <x:v>8</x:v>
      </x:c>
      <x:c r="G92" s="23" t="n">
        <x:f>IF($B$6="有效",ROUND(F92*INDEX('怪物总表'!$K$6:$K$105,MATCH(A92,'怪物总表'!$A$6:$A$105,0)),0),"输入无效")</x:f>
        <x:v>8</x:v>
      </x:c>
      <x:c r="H92" s="23" t="n">
        <x:f>IF($B$6="有效",ROUND(INDEX('怪物总表'!$I$6:$I$105,MATCH(A92,'怪物总表'!$A$6:$A$105,0))*$B$5,0),"输入无效")</x:f>
        <x:v>0</x:v>
      </x:c>
      <x:c r="I92" s="23" t="n">
        <x:f>IF($B$6="有效",ROUND(INDEX('怪物总表'!$J$6:$J$105,MATCH(A92,'怪物总表'!$A$6:$A$105,0))*$B$5,0),"输入无效")</x:f>
        <x:v>0</x:v>
      </x:c>
      <x:c r="J92" s="27" t="n">
        <x:f>INDEX('怪物总表'!$L$6:$L$105,MATCH(A92,'怪物总表'!$A$6:$A$105,0))*IF(D92="精英",$B$127,1)</x:f>
        <x:v>3.2</x:v>
      </x:c>
      <x:c r="K92" s="23" t="n">
        <x:f>1+INDEX('怪物总表'!$M$6:$M$105,MATCH(A92,'怪物总表'!$A$6:$A$105,0))</x:f>
        <x:v>1</x:v>
      </x:c>
      <x:c r="L92" s="23" t="n">
        <x:f>ROUND(INDEX('怪物总表'!$G$6:$G$105,MATCH(A92,'怪物总表'!$A$6:$A$105,0))*IF(INDEX('怪物总表'!$E$6:$E$105,MATCH(A92,'怪物总表'!$A$6:$A$105,0))=1,$B$128,$B$120*POWER($B$123,(INDEX('怪物总表'!$E$6:$E$105,MATCH(A92,'怪物总表'!$A$6:$A$105,0))-2)/$B$122))*IF(D92="精英",$B$125,1),0)</x:f>
        <x:v>87</x:v>
      </x:c>
    </x:row>
    <x:row r="93" ht="31.5" customHeight="1">
      <x:c r="A93" s="14" t="str">
        <x:v>MON_E005</x:v>
      </x:c>
      <x:c r="B93" s="14" t="str">
        <x:f>INDEX('怪物总表'!$B$6:$B$105,MATCH(A93,'怪物总表'!$A$6:$A$105,0))</x:f>
        <x:v>裂口吐息王</x:v>
      </x:c>
      <x:c r="C93" s="14" t="str">
        <x:f>IF($B$6="有效",IF(AND($B$4&gt;=INDEX('怪物总表'!$E$6:$E$105,MATCH(A93,'怪物总表'!$A$6:$A$105,0)),$E$4&gt;=INDEX('怪物总表'!$F$6:$F$105,MATCH(A93,'怪物总表'!$A$6:$A$105,0))),"已达门槛","未达门槛"),"输入无效")</x:f>
        <x:v>未达门槛</x:v>
      </x:c>
      <x:c r="D93" s="14" t="str">
        <x:f>INDEX('怪物总表'!$C$6:$C$105,MATCH(A93,'怪物总表'!$A$6:$A$105,0))</x:f>
        <x:v>精英</x:v>
      </x:c>
      <x:c r="E93" s="24" t="n">
        <x:f>IF($B$6="有效",ROUND(INDEX('怪物总表'!$G$6:$G$105,MATCH(A93,'怪物总表'!$A$6:$A$105,0))*$B$5*$H$5*IF(D93="精英",$B$125,1),0),"输入无效")</x:f>
        <x:v>72</x:v>
      </x:c>
      <x:c r="F93" s="24" t="n">
        <x:f>IF($B$6="有效",ROUND(INDEX('怪物总表'!$H$6:$H$105,MATCH(A93,'怪物总表'!$A$6:$A$105,0))*$E$5*$K$5*IF(D93="精英",$B$126,1),0),"输入无效")</x:f>
        <x:v>8</x:v>
      </x:c>
      <x:c r="G93" s="24" t="n">
        <x:f>IF($B$6="有效",ROUND(F93*INDEX('怪物总表'!$K$6:$K$105,MATCH(A93,'怪物总表'!$A$6:$A$105,0)),0),"输入无效")</x:f>
        <x:v>8</x:v>
      </x:c>
      <x:c r="H93" s="24" t="n">
        <x:f>IF($B$6="有效",ROUND(INDEX('怪物总表'!$I$6:$I$105,MATCH(A93,'怪物总表'!$A$6:$A$105,0))*$B$5,0),"输入无效")</x:f>
        <x:v>0</x:v>
      </x:c>
      <x:c r="I93" s="24" t="n">
        <x:f>IF($B$6="有效",ROUND(INDEX('怪物总表'!$J$6:$J$105,MATCH(A93,'怪物总表'!$A$6:$A$105,0))*$B$5,0),"输入无效")</x:f>
        <x:v>0</x:v>
      </x:c>
      <x:c r="J93" s="28" t="n">
        <x:f>INDEX('怪物总表'!$L$6:$L$105,MATCH(A93,'怪物总表'!$A$6:$A$105,0))*IF(D93="精英",$B$127,1)</x:f>
        <x:v>4</x:v>
      </x:c>
      <x:c r="K93" s="24" t="n">
        <x:f>1+INDEX('怪物总表'!$M$6:$M$105,MATCH(A93,'怪物总表'!$A$6:$A$105,0))</x:f>
        <x:v>1</x:v>
      </x:c>
      <x:c r="L93" s="24" t="n">
        <x:f>ROUND(INDEX('怪物总表'!$G$6:$G$105,MATCH(A93,'怪物总表'!$A$6:$A$105,0))*IF(INDEX('怪物总表'!$E$6:$E$105,MATCH(A93,'怪物总表'!$A$6:$A$105,0))=1,$B$128,$B$120*POWER($B$123,(INDEX('怪物总表'!$E$6:$E$105,MATCH(A93,'怪物总表'!$A$6:$A$105,0))-2)/$B$122))*IF(D93="精英",$B$125,1),0)</x:f>
        <x:v>121</x:v>
      </x:c>
    </x:row>
    <x:row r="94" ht="31.5" customHeight="1">
      <x:c r="A94" s="16" t="str">
        <x:v>MON_E006</x:v>
      </x:c>
      <x:c r="B94" s="16" t="str">
        <x:f>INDEX('怪物总表'!$B$6:$B$105,MATCH(A94,'怪物总表'!$A$6:$A$105,0))</x:f>
        <x:v>分岔囊炮王</x:v>
      </x:c>
      <x:c r="C94" s="16" t="str">
        <x:f>IF($B$6="有效",IF(AND($B$4&gt;=INDEX('怪物总表'!$E$6:$E$105,MATCH(A94,'怪物总表'!$A$6:$A$105,0)),$E$4&gt;=INDEX('怪物总表'!$F$6:$F$105,MATCH(A94,'怪物总表'!$A$6:$A$105,0))),"已达门槛","未达门槛"),"输入无效")</x:f>
        <x:v>未达门槛</x:v>
      </x:c>
      <x:c r="D94" s="16" t="str">
        <x:f>INDEX('怪物总表'!$C$6:$C$105,MATCH(A94,'怪物总表'!$A$6:$A$105,0))</x:f>
        <x:v>精英</x:v>
      </x:c>
      <x:c r="E94" s="23" t="n">
        <x:f>IF($B$6="有效",ROUND(INDEX('怪物总表'!$G$6:$G$105,MATCH(A94,'怪物总表'!$A$6:$A$105,0))*$B$5*$H$5*IF(D94="精英",$B$125,1),0),"输入无效")</x:f>
        <x:v>64</x:v>
      </x:c>
      <x:c r="F94" s="23" t="n">
        <x:f>IF($B$6="有效",ROUND(INDEX('怪物总表'!$H$6:$H$105,MATCH(A94,'怪物总表'!$A$6:$A$105,0))*$E$5*$K$5*IF(D94="精英",$B$126,1),0),"输入无效")</x:f>
        <x:v>11</x:v>
      </x:c>
      <x:c r="G94" s="23" t="n">
        <x:f>IF($B$6="有效",ROUND(F94*INDEX('怪物总表'!$K$6:$K$105,MATCH(A94,'怪物总表'!$A$6:$A$105,0)),0),"输入无效")</x:f>
        <x:v>11</x:v>
      </x:c>
      <x:c r="H94" s="23" t="n">
        <x:f>IF($B$6="有效",ROUND(INDEX('怪物总表'!$I$6:$I$105,MATCH(A94,'怪物总表'!$A$6:$A$105,0))*$B$5,0),"输入无效")</x:f>
        <x:v>0</x:v>
      </x:c>
      <x:c r="I94" s="23" t="n">
        <x:f>IF($B$6="有效",ROUND(INDEX('怪物总表'!$J$6:$J$105,MATCH(A94,'怪物总表'!$A$6:$A$105,0))*$B$5,0),"输入无效")</x:f>
        <x:v>0</x:v>
      </x:c>
      <x:c r="J94" s="27" t="n">
        <x:f>INDEX('怪物总表'!$L$6:$L$105,MATCH(A94,'怪物总表'!$A$6:$A$105,0))*IF(D94="精英",$B$127,1)</x:f>
        <x:v>4.800000000000001</x:v>
      </x:c>
      <x:c r="K94" s="23" t="n">
        <x:f>1+INDEX('怪物总表'!$M$6:$M$105,MATCH(A94,'怪物总表'!$A$6:$A$105,0))</x:f>
        <x:v>1</x:v>
      </x:c>
      <x:c r="L94" s="23" t="n">
        <x:f>ROUND(INDEX('怪物总表'!$G$6:$G$105,MATCH(A94,'怪物总表'!$A$6:$A$105,0))*IF(INDEX('怪物总表'!$E$6:$E$105,MATCH(A94,'怪物总表'!$A$6:$A$105,0))=1,$B$128,$B$120*POWER($B$123,(INDEX('怪物总表'!$E$6:$E$105,MATCH(A94,'怪物总表'!$A$6:$A$105,0))-2)/$B$122))*IF(D94="精英",$B$125,1),0)</x:f>
        <x:v>111</x:v>
      </x:c>
    </x:row>
    <x:row r="95" ht="31.5" customHeight="1">
      <x:c r="A95" s="14" t="str">
        <x:v>MON_E007</x:v>
      </x:c>
      <x:c r="B95" s="14" t="str">
        <x:f>INDEX('怪物总表'!$B$6:$B$105,MATCH(A95,'怪物总表'!$A$6:$A$105,0))</x:f>
        <x:v>空环震王</x:v>
      </x:c>
      <x:c r="C95" s="14" t="str">
        <x:f>IF($B$6="有效",IF(AND($B$4&gt;=INDEX('怪物总表'!$E$6:$E$105,MATCH(A95,'怪物总表'!$A$6:$A$105,0)),$E$4&gt;=INDEX('怪物总表'!$F$6:$F$105,MATCH(A95,'怪物总表'!$A$6:$A$105,0))),"已达门槛","未达门槛"),"输入无效")</x:f>
        <x:v>未达门槛</x:v>
      </x:c>
      <x:c r="D95" s="14" t="str">
        <x:f>INDEX('怪物总表'!$C$6:$C$105,MATCH(A95,'怪物总表'!$A$6:$A$105,0))</x:f>
        <x:v>精英</x:v>
      </x:c>
      <x:c r="E95" s="24" t="n">
        <x:f>IF($B$6="有效",ROUND(INDEX('怪物总表'!$G$6:$G$105,MATCH(A95,'怪物总表'!$A$6:$A$105,0))*$B$5*$H$5*IF(D95="精英",$B$125,1),0),"输入无效")</x:f>
        <x:v>80</x:v>
      </x:c>
      <x:c r="F95" s="24" t="n">
        <x:f>IF($B$6="有效",ROUND(INDEX('怪物总表'!$H$6:$H$105,MATCH(A95,'怪物总表'!$A$6:$A$105,0))*$E$5*$K$5*IF(D95="精英",$B$126,1),0),"输入无效")</x:f>
        <x:v>9</x:v>
      </x:c>
      <x:c r="G95" s="24" t="n">
        <x:f>IF($B$6="有效",ROUND(F95*INDEX('怪物总表'!$K$6:$K$105,MATCH(A95,'怪物总表'!$A$6:$A$105,0)),0),"输入无效")</x:f>
        <x:v>9</x:v>
      </x:c>
      <x:c r="H95" s="24" t="n">
        <x:f>IF($B$6="有效",ROUND(INDEX('怪物总表'!$I$6:$I$105,MATCH(A95,'怪物总表'!$A$6:$A$105,0))*$B$5,0),"输入无效")</x:f>
        <x:v>0</x:v>
      </x:c>
      <x:c r="I95" s="24" t="n">
        <x:f>IF($B$6="有效",ROUND(INDEX('怪物总表'!$J$6:$J$105,MATCH(A95,'怪物总表'!$A$6:$A$105,0))*$B$5,0),"输入无效")</x:f>
        <x:v>0</x:v>
      </x:c>
      <x:c r="J95" s="28" t="n">
        <x:f>INDEX('怪物总表'!$L$6:$L$105,MATCH(A95,'怪物总表'!$A$6:$A$105,0))*IF(D95="精英",$B$127,1)</x:f>
        <x:v>4.800000000000001</x:v>
      </x:c>
      <x:c r="K95" s="24" t="n">
        <x:f>1+INDEX('怪物总表'!$M$6:$M$105,MATCH(A95,'怪物总表'!$A$6:$A$105,0))</x:f>
        <x:v>1</x:v>
      </x:c>
      <x:c r="L95" s="24" t="n">
        <x:f>ROUND(INDEX('怪物总表'!$G$6:$G$105,MATCH(A95,'怪物总表'!$A$6:$A$105,0))*IF(INDEX('怪物总表'!$E$6:$E$105,MATCH(A95,'怪物总表'!$A$6:$A$105,0))=1,$B$128,$B$120*POWER($B$123,(INDEX('怪物总表'!$E$6:$E$105,MATCH(A95,'怪物总表'!$A$6:$A$105,0))-2)/$B$122))*IF(D95="精英",$B$125,1),0)</x:f>
        <x:v>144</x:v>
      </x:c>
    </x:row>
    <x:row r="96" ht="31.5" customHeight="1">
      <x:c r="A96" s="16" t="str">
        <x:v>MON_E008</x:v>
      </x:c>
      <x:c r="B96" s="16" t="str">
        <x:f>INDEX('怪物总表'!$B$6:$B$105,MATCH(A96,'怪物总表'!$A$6:$A$105,0))</x:f>
        <x:v>双序余痕王</x:v>
      </x:c>
      <x:c r="C96" s="16" t="str">
        <x:f>IF($B$6="有效",IF(AND($B$4&gt;=INDEX('怪物总表'!$E$6:$E$105,MATCH(A96,'怪物总表'!$A$6:$A$105,0)),$E$4&gt;=INDEX('怪物总表'!$F$6:$F$105,MATCH(A96,'怪物总表'!$A$6:$A$105,0))),"已达门槛","未达门槛"),"输入无效")</x:f>
        <x:v>未达门槛</x:v>
      </x:c>
      <x:c r="D96" s="16" t="str">
        <x:f>INDEX('怪物总表'!$C$6:$C$105,MATCH(A96,'怪物总表'!$A$6:$A$105,0))</x:f>
        <x:v>精英</x:v>
      </x:c>
      <x:c r="E96" s="23" t="n">
        <x:f>IF($B$6="有效",ROUND(INDEX('怪物总表'!$G$6:$G$105,MATCH(A96,'怪物总表'!$A$6:$A$105,0))*$B$5*$H$5*IF(D96="精英",$B$125,1),0),"输入无效")</x:f>
        <x:v>72</x:v>
      </x:c>
      <x:c r="F96" s="23" t="n">
        <x:f>IF($B$6="有效",ROUND(INDEX('怪物总表'!$H$6:$H$105,MATCH(A96,'怪物总表'!$A$6:$A$105,0))*$E$5*$K$5*IF(D96="精英",$B$126,1),0),"输入无效")</x:f>
        <x:v>9</x:v>
      </x:c>
      <x:c r="G96" s="23" t="n">
        <x:f>IF($B$6="有效",ROUND(F96*INDEX('怪物总表'!$K$6:$K$105,MATCH(A96,'怪物总表'!$A$6:$A$105,0)),0),"输入无效")</x:f>
        <x:v>9</x:v>
      </x:c>
      <x:c r="H96" s="23" t="n">
        <x:f>IF($B$6="有效",ROUND(INDEX('怪物总表'!$I$6:$I$105,MATCH(A96,'怪物总表'!$A$6:$A$105,0))*$B$5,0),"输入无效")</x:f>
        <x:v>0</x:v>
      </x:c>
      <x:c r="I96" s="23" t="n">
        <x:f>IF($B$6="有效",ROUND(INDEX('怪物总表'!$J$6:$J$105,MATCH(A96,'怪物总表'!$A$6:$A$105,0))*$B$5,0),"输入无效")</x:f>
        <x:v>0</x:v>
      </x:c>
      <x:c r="J96" s="27" t="n">
        <x:f>INDEX('怪物总表'!$L$6:$L$105,MATCH(A96,'怪物总表'!$A$6:$A$105,0))*IF(D96="精英",$B$127,1)</x:f>
        <x:v>4.800000000000001</x:v>
      </x:c>
      <x:c r="K96" s="23" t="n">
        <x:f>1+INDEX('怪物总表'!$M$6:$M$105,MATCH(A96,'怪物总表'!$A$6:$A$105,0))</x:f>
        <x:v>1</x:v>
      </x:c>
      <x:c r="L96" s="23" t="n">
        <x:f>ROUND(INDEX('怪物总表'!$G$6:$G$105,MATCH(A96,'怪物总表'!$A$6:$A$105,0))*IF(INDEX('怪物总表'!$E$6:$E$105,MATCH(A96,'怪物总表'!$A$6:$A$105,0))=1,$B$128,$B$120*POWER($B$123,(INDEX('怪物总表'!$E$6:$E$105,MATCH(A96,'怪物总表'!$A$6:$A$105,0))-2)/$B$122))*IF(D96="精英",$B$125,1),0)</x:f>
        <x:v>135</x:v>
      </x:c>
    </x:row>
    <x:row r="97" ht="31.5" customHeight="1">
      <x:c r="A97" s="14" t="str">
        <x:v>MON_E009</x:v>
      </x:c>
      <x:c r="B97" s="14" t="str">
        <x:f>INDEX('怪物总表'!$B$6:$B$105,MATCH(A97,'怪物总表'!$A$6:$A$105,0))</x:f>
        <x:v>转楔盾王</x:v>
      </x:c>
      <x:c r="C97" s="14" t="str">
        <x:f>IF($B$6="有效",IF(AND($B$4&gt;=INDEX('怪物总表'!$E$6:$E$105,MATCH(A97,'怪物总表'!$A$6:$A$105,0)),$E$4&gt;=INDEX('怪物总表'!$F$6:$F$105,MATCH(A97,'怪物总表'!$A$6:$A$105,0))),"已达门槛","未达门槛"),"输入无效")</x:f>
        <x:v>未达门槛</x:v>
      </x:c>
      <x:c r="D97" s="14" t="str">
        <x:f>INDEX('怪物总表'!$C$6:$C$105,MATCH(A97,'怪物总表'!$A$6:$A$105,0))</x:f>
        <x:v>精英</x:v>
      </x:c>
      <x:c r="E97" s="24" t="n">
        <x:f>IF($B$6="有效",ROUND(INDEX('怪物总表'!$G$6:$G$105,MATCH(A97,'怪物总表'!$A$6:$A$105,0))*$B$5*$H$5*IF(D97="精英",$B$125,1),0),"输入无效")</x:f>
        <x:v>104</x:v>
      </x:c>
      <x:c r="F97" s="24" t="n">
        <x:f>IF($B$6="有效",ROUND(INDEX('怪物总表'!$H$6:$H$105,MATCH(A97,'怪物总表'!$A$6:$A$105,0))*$E$5*$K$5*IF(D97="精英",$B$126,1),0),"输入无效")</x:f>
        <x:v>7</x:v>
      </x:c>
      <x:c r="G97" s="24" t="n">
        <x:f>IF($B$6="有效",ROUND(F97*INDEX('怪物总表'!$K$6:$K$105,MATCH(A97,'怪物总表'!$A$6:$A$105,0)),0),"输入无效")</x:f>
        <x:v>7</x:v>
      </x:c>
      <x:c r="H97" s="24" t="n">
        <x:f>IF($B$6="有效",ROUND(INDEX('怪物总表'!$I$6:$I$105,MATCH(A97,'怪物总表'!$A$6:$A$105,0))*$B$5,0),"输入无效")</x:f>
        <x:v>0</x:v>
      </x:c>
      <x:c r="I97" s="24" t="n">
        <x:f>IF($B$6="有效",ROUND(INDEX('怪物总表'!$J$6:$J$105,MATCH(A97,'怪物总表'!$A$6:$A$105,0))*$B$5,0),"输入无效")</x:f>
        <x:v>0</x:v>
      </x:c>
      <x:c r="J97" s="28" t="n">
        <x:f>INDEX('怪物总表'!$L$6:$L$105,MATCH(A97,'怪物总表'!$A$6:$A$105,0))*IF(D97="精英",$B$127,1)</x:f>
        <x:v>4.800000000000001</x:v>
      </x:c>
      <x:c r="K97" s="24" t="n">
        <x:f>1+INDEX('怪物总表'!$M$6:$M$105,MATCH(A97,'怪物总表'!$A$6:$A$105,0))</x:f>
        <x:v>1</x:v>
      </x:c>
      <x:c r="L97" s="24" t="n">
        <x:f>ROUND(INDEX('怪物总表'!$G$6:$G$105,MATCH(A97,'怪物总表'!$A$6:$A$105,0))*IF(INDEX('怪物总表'!$E$6:$E$105,MATCH(A97,'怪物总表'!$A$6:$A$105,0))=1,$B$128,$B$120*POWER($B$123,(INDEX('怪物总表'!$E$6:$E$105,MATCH(A97,'怪物总表'!$A$6:$A$105,0))-2)/$B$122))*IF(D97="精英",$B$125,1),0)</x:f>
        <x:v>168</x:v>
      </x:c>
    </x:row>
    <x:row r="98" ht="31.5" customHeight="1">
      <x:c r="A98" s="16" t="str">
        <x:v>MON_E010</x:v>
      </x:c>
      <x:c r="B98" s="16" t="str">
        <x:f>INDEX('怪物总表'!$B$6:$B$105,MATCH(A98,'怪物总表'!$A$6:$A$105,0))</x:f>
        <x:v>破壳枪卫王</x:v>
      </x:c>
      <x:c r="C98" s="16" t="str">
        <x:f>IF($B$6="有效",IF(AND($B$4&gt;=INDEX('怪物总表'!$E$6:$E$105,MATCH(A98,'怪物总表'!$A$6:$A$105,0)),$E$4&gt;=INDEX('怪物总表'!$F$6:$F$105,MATCH(A98,'怪物总表'!$A$6:$A$105,0))),"已达门槛","未达门槛"),"输入无效")</x:f>
        <x:v>未达门槛</x:v>
      </x:c>
      <x:c r="D98" s="16" t="str">
        <x:f>INDEX('怪物总表'!$C$6:$C$105,MATCH(A98,'怪物总表'!$A$6:$A$105,0))</x:f>
        <x:v>精英</x:v>
      </x:c>
      <x:c r="E98" s="23" t="n">
        <x:f>IF($B$6="有效",ROUND(INDEX('怪物总表'!$G$6:$G$105,MATCH(A98,'怪物总表'!$A$6:$A$105,0))*$B$5*$H$5*IF(D98="精英",$B$125,1),0),"输入无效")</x:f>
        <x:v>128</x:v>
      </x:c>
      <x:c r="F98" s="23" t="n">
        <x:f>IF($B$6="有效",ROUND(INDEX('怪物总表'!$H$6:$H$105,MATCH(A98,'怪物总表'!$A$6:$A$105,0))*$E$5*$K$5*IF(D98="精英",$B$126,1),0),"输入无效")</x:f>
        <x:v>9</x:v>
      </x:c>
      <x:c r="G98" s="23" t="n">
        <x:f>IF($B$6="有效",ROUND(F98*INDEX('怪物总表'!$K$6:$K$105,MATCH(A98,'怪物总表'!$A$6:$A$105,0)),0),"输入无效")</x:f>
        <x:v>9</x:v>
      </x:c>
      <x:c r="H98" s="23" t="n">
        <x:f>IF($B$6="有效",ROUND(INDEX('怪物总表'!$I$6:$I$105,MATCH(A98,'怪物总表'!$A$6:$A$105,0))*$B$5,0),"输入无效")</x:f>
        <x:v>0</x:v>
      </x:c>
      <x:c r="I98" s="23" t="n">
        <x:f>IF($B$6="有效",ROUND(INDEX('怪物总表'!$J$6:$J$105,MATCH(A98,'怪物总表'!$A$6:$A$105,0))*$B$5,0),"输入无效")</x:f>
        <x:v>0</x:v>
      </x:c>
      <x:c r="J98" s="27" t="n">
        <x:f>INDEX('怪物总表'!$L$6:$L$105,MATCH(A98,'怪物总表'!$A$6:$A$105,0))*IF(D98="精英",$B$127,1)</x:f>
        <x:v>5.6000000000000005</x:v>
      </x:c>
      <x:c r="K98" s="23" t="n">
        <x:f>1+INDEX('怪物总表'!$M$6:$M$105,MATCH(A98,'怪物总表'!$A$6:$A$105,0))</x:f>
        <x:v>1</x:v>
      </x:c>
      <x:c r="L98" s="23" t="n">
        <x:f>ROUND(INDEX('怪物总表'!$G$6:$G$105,MATCH(A98,'怪物总表'!$A$6:$A$105,0))*IF(INDEX('怪物总表'!$E$6:$E$105,MATCH(A98,'怪物总表'!$A$6:$A$105,0))=1,$B$128,$B$120*POWER($B$123,(INDEX('怪物总表'!$E$6:$E$105,MATCH(A98,'怪物总表'!$A$6:$A$105,0))-2)/$B$122))*IF(D98="精英",$B$125,1),0)</x:f>
        <x:v>215</x:v>
      </x:c>
    </x:row>
    <x:row r="99" ht="31.5" customHeight="1">
      <x:c r="A99" s="14" t="str">
        <x:v>MON_E011</x:v>
      </x:c>
      <x:c r="B99" s="14" t="str">
        <x:f>INDEX('怪物总表'!$B$6:$B$105,MATCH(A99,'怪物总表'!$A$6:$A$105,0))</x:f>
        <x:v>分流缝血主母</x:v>
      </x:c>
      <x:c r="C99" s="14" t="str">
        <x:f>IF($B$6="有效",IF(AND($B$4&gt;=INDEX('怪物总表'!$E$6:$E$105,MATCH(A99,'怪物总表'!$A$6:$A$105,0)),$E$4&gt;=INDEX('怪物总表'!$F$6:$F$105,MATCH(A99,'怪物总表'!$A$6:$A$105,0))),"已达门槛","未达门槛"),"输入无效")</x:f>
        <x:v>未达门槛</x:v>
      </x:c>
      <x:c r="D99" s="14" t="str">
        <x:f>INDEX('怪物总表'!$C$6:$C$105,MATCH(A99,'怪物总表'!$A$6:$A$105,0))</x:f>
        <x:v>精英</x:v>
      </x:c>
      <x:c r="E99" s="24" t="n">
        <x:f>IF($B$6="有效",ROUND(INDEX('怪物总表'!$G$6:$G$105,MATCH(A99,'怪物总表'!$A$6:$A$105,0))*$B$5*$H$5*IF(D99="精英",$B$125,1),0),"输入无效")</x:f>
        <x:v>67</x:v>
      </x:c>
      <x:c r="F99" s="24" t="n">
        <x:f>IF($B$6="有效",ROUND(INDEX('怪物总表'!$H$6:$H$105,MATCH(A99,'怪物总表'!$A$6:$A$105,0))*$E$5*$K$5*IF(D99="精英",$B$126,1),0),"输入无效")</x:f>
        <x:v>4</x:v>
      </x:c>
      <x:c r="G99" s="24" t="n">
        <x:f>IF($B$6="有效",ROUND(F99*INDEX('怪物总表'!$K$6:$K$105,MATCH(A99,'怪物总表'!$A$6:$A$105,0)),0),"输入无效")</x:f>
        <x:v>0</x:v>
      </x:c>
      <x:c r="H99" s="24" t="n">
        <x:f>IF($B$6="有效",ROUND(INDEX('怪物总表'!$I$6:$I$105,MATCH(A99,'怪物总表'!$A$6:$A$105,0))*$B$5,0),"输入无效")</x:f>
        <x:v>10</x:v>
      </x:c>
      <x:c r="I99" s="24" t="n">
        <x:f>IF($B$6="有效",ROUND(INDEX('怪物总表'!$J$6:$J$105,MATCH(A99,'怪物总表'!$A$6:$A$105,0))*$B$5,0),"输入无效")</x:f>
        <x:v>0</x:v>
      </x:c>
      <x:c r="J99" s="28" t="n">
        <x:f>INDEX('怪物总表'!$L$6:$L$105,MATCH(A99,'怪物总表'!$A$6:$A$105,0))*IF(D99="精英",$B$127,1)</x:f>
        <x:v>4.800000000000001</x:v>
      </x:c>
      <x:c r="K99" s="24" t="n">
        <x:f>1+INDEX('怪物总表'!$M$6:$M$105,MATCH(A99,'怪物总表'!$A$6:$A$105,0))</x:f>
        <x:v>1</x:v>
      </x:c>
      <x:c r="L99" s="24" t="n">
        <x:f>ROUND(INDEX('怪物总表'!$G$6:$G$105,MATCH(A99,'怪物总表'!$A$6:$A$105,0))*IF(INDEX('怪物总表'!$E$6:$E$105,MATCH(A99,'怪物总表'!$A$6:$A$105,0))=1,$B$128,$B$120*POWER($B$123,(INDEX('怪物总表'!$E$6:$E$105,MATCH(A99,'怪物总表'!$A$6:$A$105,0))-2)/$B$122))*IF(D99="精英",$B$125,1),0)</x:f>
        <x:v>109</x:v>
      </x:c>
    </x:row>
    <x:row r="100" ht="31.5" customHeight="1">
      <x:c r="A100" s="16" t="str">
        <x:v>MON_E012</x:v>
      </x:c>
      <x:c r="B100" s="16" t="str">
        <x:f>INDEX('怪物总表'!$B$6:$B$105,MATCH(A100,'怪物总表'!$A$6:$A$105,0))</x:f>
        <x:v>回潮授甲王</x:v>
      </x:c>
      <x:c r="C100" s="16" t="str">
        <x:f>IF($B$6="有效",IF(AND($B$4&gt;=INDEX('怪物总表'!$E$6:$E$105,MATCH(A100,'怪物总表'!$A$6:$A$105,0)),$E$4&gt;=INDEX('怪物总表'!$F$6:$F$105,MATCH(A100,'怪物总表'!$A$6:$A$105,0))),"已达门槛","未达门槛"),"输入无效")</x:f>
        <x:v>未达门槛</x:v>
      </x:c>
      <x:c r="D100" s="16" t="str">
        <x:f>INDEX('怪物总表'!$C$6:$C$105,MATCH(A100,'怪物总表'!$A$6:$A$105,0))</x:f>
        <x:v>精英</x:v>
      </x:c>
      <x:c r="E100" s="23" t="n">
        <x:f>IF($B$6="有效",ROUND(INDEX('怪物总表'!$G$6:$G$105,MATCH(A100,'怪物总表'!$A$6:$A$105,0))*$B$5*$H$5*IF(D100="精英",$B$125,1),0),"输入无效")</x:f>
        <x:v>77</x:v>
      </x:c>
      <x:c r="F100" s="23" t="n">
        <x:f>IF($B$6="有效",ROUND(INDEX('怪物总表'!$H$6:$H$105,MATCH(A100,'怪物总表'!$A$6:$A$105,0))*$E$5*$K$5*IF(D100="精英",$B$126,1),0),"输入无效")</x:f>
        <x:v>4</x:v>
      </x:c>
      <x:c r="G100" s="23" t="n">
        <x:f>IF($B$6="有效",ROUND(F100*INDEX('怪物总表'!$K$6:$K$105,MATCH(A100,'怪物总表'!$A$6:$A$105,0)),0),"输入无效")</x:f>
        <x:v>0</x:v>
      </x:c>
      <x:c r="H100" s="23" t="n">
        <x:f>IF($B$6="有效",ROUND(INDEX('怪物总表'!$I$6:$I$105,MATCH(A100,'怪物总表'!$A$6:$A$105,0))*$B$5,0),"输入无效")</x:f>
        <x:v>0</x:v>
      </x:c>
      <x:c r="I100" s="23" t="n">
        <x:f>IF($B$6="有效",ROUND(INDEX('怪物总表'!$J$6:$J$105,MATCH(A100,'怪物总表'!$A$6:$A$105,0))*$B$5,0),"输入无效")</x:f>
        <x:v>12</x:v>
      </x:c>
      <x:c r="J100" s="27" t="n">
        <x:f>INDEX('怪物总表'!$L$6:$L$105,MATCH(A100,'怪物总表'!$A$6:$A$105,0))*IF(D100="精英",$B$127,1)</x:f>
        <x:v>5.6000000000000005</x:v>
      </x:c>
      <x:c r="K100" s="23" t="n">
        <x:f>1+INDEX('怪物总表'!$M$6:$M$105,MATCH(A100,'怪物总表'!$A$6:$A$105,0))</x:f>
        <x:v>1</x:v>
      </x:c>
      <x:c r="L100" s="23" t="n">
        <x:f>ROUND(INDEX('怪物总表'!$G$6:$G$105,MATCH(A100,'怪物总表'!$A$6:$A$105,0))*IF(INDEX('怪物总表'!$E$6:$E$105,MATCH(A100,'怪物总表'!$A$6:$A$105,0))=1,$B$128,$B$120*POWER($B$123,(INDEX('怪物总表'!$E$6:$E$105,MATCH(A100,'怪物总表'!$A$6:$A$105,0))-2)/$B$122))*IF(D100="精英",$B$125,1),0)</x:f>
        <x:v>134</x:v>
      </x:c>
    </x:row>
    <x:row r="101" ht="31.5" customHeight="1">
      <x:c r="A101" s="14" t="str">
        <x:v>MON_E013</x:v>
      </x:c>
      <x:c r="B101" s="14" t="str">
        <x:f>INDEX('怪物总表'!$B$6:$B$105,MATCH(A101,'怪物总表'!$A$6:$A$105,0))</x:f>
        <x:v>接力号令官</x:v>
      </x:c>
      <x:c r="C101" s="14" t="str">
        <x:f>IF($B$6="有效",IF(AND($B$4&gt;=INDEX('怪物总表'!$E$6:$E$105,MATCH(A101,'怪物总表'!$A$6:$A$105,0)),$E$4&gt;=INDEX('怪物总表'!$F$6:$F$105,MATCH(A101,'怪物总表'!$A$6:$A$105,0))),"已达门槛","未达门槛"),"输入无效")</x:f>
        <x:v>未达门槛</x:v>
      </x:c>
      <x:c r="D101" s="14" t="str">
        <x:f>INDEX('怪物总表'!$C$6:$C$105,MATCH(A101,'怪物总表'!$A$6:$A$105,0))</x:f>
        <x:v>精英</x:v>
      </x:c>
      <x:c r="E101" s="24" t="n">
        <x:f>IF($B$6="有效",ROUND(INDEX('怪物总表'!$G$6:$G$105,MATCH(A101,'怪物总表'!$A$6:$A$105,0))*$B$5*$H$5*IF(D101="精英",$B$125,1),0),"输入无效")</x:f>
        <x:v>67</x:v>
      </x:c>
      <x:c r="F101" s="24" t="n">
        <x:f>IF($B$6="有效",ROUND(INDEX('怪物总表'!$H$6:$H$105,MATCH(A101,'怪物总表'!$A$6:$A$105,0))*$E$5*$K$5*IF(D101="精英",$B$126,1),0),"输入无效")</x:f>
        <x:v>4</x:v>
      </x:c>
      <x:c r="G101" s="24" t="n">
        <x:f>IF($B$6="有效",ROUND(F101*INDEX('怪物总表'!$K$6:$K$105,MATCH(A101,'怪物总表'!$A$6:$A$105,0)),0),"输入无效")</x:f>
        <x:v>0</x:v>
      </x:c>
      <x:c r="H101" s="24" t="n">
        <x:f>IF($B$6="有效",ROUND(INDEX('怪物总表'!$I$6:$I$105,MATCH(A101,'怪物总表'!$A$6:$A$105,0))*$B$5,0),"输入无效")</x:f>
        <x:v>0</x:v>
      </x:c>
      <x:c r="I101" s="24" t="n">
        <x:f>IF($B$6="有效",ROUND(INDEX('怪物总表'!$J$6:$J$105,MATCH(A101,'怪物总表'!$A$6:$A$105,0))*$B$5,0),"输入无效")</x:f>
        <x:v>0</x:v>
      </x:c>
      <x:c r="J101" s="28" t="n">
        <x:f>INDEX('怪物总表'!$L$6:$L$105,MATCH(A101,'怪物总表'!$A$6:$A$105,0))*IF(D101="精英",$B$127,1)</x:f>
        <x:v>5.6000000000000005</x:v>
      </x:c>
      <x:c r="K101" s="24" t="n">
        <x:f>1+INDEX('怪物总表'!$M$6:$M$105,MATCH(A101,'怪物总表'!$A$6:$A$105,0))</x:f>
        <x:v>1</x:v>
      </x:c>
      <x:c r="L101" s="24" t="n">
        <x:f>ROUND(INDEX('怪物总表'!$G$6:$G$105,MATCH(A101,'怪物总表'!$A$6:$A$105,0))*IF(INDEX('怪物总表'!$E$6:$E$105,MATCH(A101,'怪物总表'!$A$6:$A$105,0))=1,$B$128,$B$120*POWER($B$123,(INDEX('怪物总表'!$E$6:$E$105,MATCH(A101,'怪物总表'!$A$6:$A$105,0))-2)/$B$122))*IF(D101="精英",$B$125,1),0)</x:f>
        <x:v>121</x:v>
      </x:c>
    </x:row>
    <x:row r="102" ht="31.5" customHeight="1">
      <x:c r="A102" s="16" t="str">
        <x:v>MON_E014</x:v>
      </x:c>
      <x:c r="B102" s="16" t="str">
        <x:f>INDEX('怪物总表'!$B$6:$B$105,MATCH(A102,'怪物总表'!$A$6:$A$105,0))</x:f>
        <x:v>错孵双卵王</x:v>
      </x:c>
      <x:c r="C102" s="16" t="str">
        <x:f>IF($B$6="有效",IF(AND($B$4&gt;=INDEX('怪物总表'!$E$6:$E$105,MATCH(A102,'怪物总表'!$A$6:$A$105,0)),$E$4&gt;=INDEX('怪物总表'!$F$6:$F$105,MATCH(A102,'怪物总表'!$A$6:$A$105,0))),"已达门槛","未达门槛"),"输入无效")</x:f>
        <x:v>未达门槛</x:v>
      </x:c>
      <x:c r="D102" s="16" t="str">
        <x:f>INDEX('怪物总表'!$C$6:$C$105,MATCH(A102,'怪物总表'!$A$6:$A$105,0))</x:f>
        <x:v>精英</x:v>
      </x:c>
      <x:c r="E102" s="23" t="n">
        <x:f>IF($B$6="有效",ROUND(INDEX('怪物总表'!$G$6:$G$105,MATCH(A102,'怪物总表'!$A$6:$A$105,0))*$B$5*$H$5*IF(D102="精英",$B$125,1),0),"输入无效")</x:f>
        <x:v>93</x:v>
      </x:c>
      <x:c r="F102" s="23" t="n">
        <x:f>IF($B$6="有效",ROUND(INDEX('怪物总表'!$H$6:$H$105,MATCH(A102,'怪物总表'!$A$6:$A$105,0))*$E$5*$K$5*IF(D102="精英",$B$126,1),0),"输入无效")</x:f>
        <x:v>4</x:v>
      </x:c>
      <x:c r="G102" s="23" t="n">
        <x:f>IF($B$6="有效",ROUND(F102*INDEX('怪物总表'!$K$6:$K$105,MATCH(A102,'怪物总表'!$A$6:$A$105,0)),0),"输入无效")</x:f>
        <x:v>0</x:v>
      </x:c>
      <x:c r="H102" s="23" t="n">
        <x:f>IF($B$6="有效",ROUND(INDEX('怪物总表'!$I$6:$I$105,MATCH(A102,'怪物总表'!$A$6:$A$105,0))*$B$5,0),"输入无效")</x:f>
        <x:v>0</x:v>
      </x:c>
      <x:c r="I102" s="23" t="n">
        <x:f>IF($B$6="有效",ROUND(INDEX('怪物总表'!$J$6:$J$105,MATCH(A102,'怪物总表'!$A$6:$A$105,0))*$B$5,0),"输入无效")</x:f>
        <x:v>0</x:v>
      </x:c>
      <x:c r="J102" s="27" t="n">
        <x:f>INDEX('怪物总表'!$L$6:$L$105,MATCH(A102,'怪物总表'!$A$6:$A$105,0))*IF(D102="精英",$B$127,1)</x:f>
        <x:v>7.2</x:v>
      </x:c>
      <x:c r="K102" s="23" t="n">
        <x:f>1+INDEX('怪物总表'!$M$6:$M$105,MATCH(A102,'怪物总表'!$A$6:$A$105,0))</x:f>
        <x:v>3</x:v>
      </x:c>
      <x:c r="L102" s="23" t="n">
        <x:f>ROUND(INDEX('怪物总表'!$G$6:$G$105,MATCH(A102,'怪物总表'!$A$6:$A$105,0))*IF(INDEX('怪物总表'!$E$6:$E$105,MATCH(A102,'怪物总表'!$A$6:$A$105,0))=1,$B$128,$B$120*POWER($B$123,(INDEX('怪物总表'!$E$6:$E$105,MATCH(A102,'怪物总表'!$A$6:$A$105,0))-2)/$B$122))*IF(D102="精英",$B$125,1),0)</x:f>
        <x:v>174</x:v>
      </x:c>
    </x:row>
    <x:row r="103" ht="31.5" customHeight="1">
      <x:c r="A103" s="14" t="str">
        <x:v>MON_E015</x:v>
      </x:c>
      <x:c r="B103" s="14" t="str">
        <x:f>INDEX('怪物总表'!$B$6:$B$105,MATCH(A103,'怪物总表'!$A$6:$A$105,0))</x:f>
        <x:v>断后裂球王</x:v>
      </x:c>
      <x:c r="C103" s="14" t="str">
        <x:f>IF($B$6="有效",IF(AND($B$4&gt;=INDEX('怪物总表'!$E$6:$E$105,MATCH(A103,'怪物总表'!$A$6:$A$105,0)),$E$4&gt;=INDEX('怪物总表'!$F$6:$F$105,MATCH(A103,'怪物总表'!$A$6:$A$105,0))),"已达门槛","未达门槛"),"输入无效")</x:f>
        <x:v>未达门槛</x:v>
      </x:c>
      <x:c r="D103" s="14" t="str">
        <x:f>INDEX('怪物总表'!$C$6:$C$105,MATCH(A103,'怪物总表'!$A$6:$A$105,0))</x:f>
        <x:v>精英</x:v>
      </x:c>
      <x:c r="E103" s="24" t="n">
        <x:f>IF($B$6="有效",ROUND(INDEX('怪物总表'!$G$6:$G$105,MATCH(A103,'怪物总表'!$A$6:$A$105,0))*$B$5*$H$5*IF(D103="精英",$B$125,1),0),"输入无效")</x:f>
        <x:v>77</x:v>
      </x:c>
      <x:c r="F103" s="24" t="n">
        <x:f>IF($B$6="有效",ROUND(INDEX('怪物总表'!$H$6:$H$105,MATCH(A103,'怪物总表'!$A$6:$A$105,0))*$E$5*$K$5*IF(D103="精英",$B$126,1),0),"输入无效")</x:f>
        <x:v>7</x:v>
      </x:c>
      <x:c r="G103" s="24" t="n">
        <x:f>IF($B$6="有效",ROUND(F103*INDEX('怪物总表'!$K$6:$K$105,MATCH(A103,'怪物总表'!$A$6:$A$105,0)),0),"输入无效")</x:f>
        <x:v>7</x:v>
      </x:c>
      <x:c r="H103" s="24" t="n">
        <x:f>IF($B$6="有效",ROUND(INDEX('怪物总表'!$I$6:$I$105,MATCH(A103,'怪物总表'!$A$6:$A$105,0))*$B$5,0),"输入无效")</x:f>
        <x:v>0</x:v>
      </x:c>
      <x:c r="I103" s="24" t="n">
        <x:f>IF($B$6="有效",ROUND(INDEX('怪物总表'!$J$6:$J$105,MATCH(A103,'怪物总表'!$A$6:$A$105,0))*$B$5,0),"输入无效")</x:f>
        <x:v>0</x:v>
      </x:c>
      <x:c r="J103" s="28" t="n">
        <x:f>INDEX('怪物总表'!$L$6:$L$105,MATCH(A103,'怪物总表'!$A$6:$A$105,0))*IF(D103="精英",$B$127,1)</x:f>
        <x:v>6.4</x:v>
      </x:c>
      <x:c r="K103" s="24" t="n">
        <x:f>1+INDEX('怪物总表'!$M$6:$M$105,MATCH(A103,'怪物总表'!$A$6:$A$105,0))</x:f>
        <x:v>3</x:v>
      </x:c>
      <x:c r="L103" s="24" t="n">
        <x:f>ROUND(INDEX('怪物总表'!$G$6:$G$105,MATCH(A103,'怪物总表'!$A$6:$A$105,0))*IF(INDEX('怪物总表'!$E$6:$E$105,MATCH(A103,'怪物总表'!$A$6:$A$105,0))=1,$B$128,$B$120*POWER($B$123,(INDEX('怪物总表'!$E$6:$E$105,MATCH(A103,'怪物总表'!$A$6:$A$105,0))-2)/$B$122))*IF(D103="精英",$B$125,1),0)</x:f>
        <x:v>149</x:v>
      </x:c>
    </x:row>
    <x:row r="104" ht="31.5" customHeight="1">
      <x:c r="A104" s="16" t="str">
        <x:v>MON_E016</x:v>
      </x:c>
      <x:c r="B104" s="16" t="str">
        <x:f>INDEX('怪物总表'!$B$6:$B$105,MATCH(A104,'怪物总表'!$A$6:$A$105,0))</x:f>
        <x:v>迁骸傀儡王</x:v>
      </x:c>
      <x:c r="C104" s="16" t="str">
        <x:f>IF($B$6="有效",IF(AND($B$4&gt;=INDEX('怪物总表'!$E$6:$E$105,MATCH(A104,'怪物总表'!$A$6:$A$105,0)),$E$4&gt;=INDEX('怪物总表'!$F$6:$F$105,MATCH(A104,'怪物总表'!$A$6:$A$105,0))),"已达门槛","未达门槛"),"输入无效")</x:f>
        <x:v>未达门槛</x:v>
      </x:c>
      <x:c r="D104" s="16" t="str">
        <x:f>INDEX('怪物总表'!$C$6:$C$105,MATCH(A104,'怪物总表'!$A$6:$A$105,0))</x:f>
        <x:v>精英</x:v>
      </x:c>
      <x:c r="E104" s="23" t="n">
        <x:f>IF($B$6="有效",ROUND(INDEX('怪物总表'!$G$6:$G$105,MATCH(A104,'怪物总表'!$A$6:$A$105,0))*$B$5*$H$5*IF(D104="精英",$B$125,1),0),"输入无效")</x:f>
        <x:v>106</x:v>
      </x:c>
      <x:c r="F104" s="23" t="n">
        <x:f>IF($B$6="有效",ROUND(INDEX('怪物总表'!$H$6:$H$105,MATCH(A104,'怪物总表'!$A$6:$A$105,0))*$E$5*$K$5*IF(D104="精英",$B$126,1),0),"输入无效")</x:f>
        <x:v>8</x:v>
      </x:c>
      <x:c r="G104" s="23" t="n">
        <x:f>IF($B$6="有效",ROUND(F104*INDEX('怪物总表'!$K$6:$K$105,MATCH(A104,'怪物总表'!$A$6:$A$105,0)),0),"输入无效")</x:f>
        <x:v>8</x:v>
      </x:c>
      <x:c r="H104" s="23" t="n">
        <x:f>IF($B$6="有效",ROUND(INDEX('怪物总表'!$I$6:$I$105,MATCH(A104,'怪物总表'!$A$6:$A$105,0))*$B$5,0),"输入无效")</x:f>
        <x:v>0</x:v>
      </x:c>
      <x:c r="I104" s="23" t="n">
        <x:f>IF($B$6="有效",ROUND(INDEX('怪物总表'!$J$6:$J$105,MATCH(A104,'怪物总表'!$A$6:$A$105,0))*$B$5,0),"输入无效")</x:f>
        <x:v>0</x:v>
      </x:c>
      <x:c r="J104" s="27" t="n">
        <x:f>INDEX('怪物总表'!$L$6:$L$105,MATCH(A104,'怪物总表'!$A$6:$A$105,0))*IF(D104="精英",$B$127,1)</x:f>
        <x:v>6.4</x:v>
      </x:c>
      <x:c r="K104" s="23" t="n">
        <x:f>1+INDEX('怪物总表'!$M$6:$M$105,MATCH(A104,'怪物总表'!$A$6:$A$105,0))</x:f>
        <x:v>2</x:v>
      </x:c>
      <x:c r="L104" s="23" t="n">
        <x:f>ROUND(INDEX('怪物总表'!$G$6:$G$105,MATCH(A104,'怪物总表'!$A$6:$A$105,0))*IF(INDEX('怪物总表'!$E$6:$E$105,MATCH(A104,'怪物总表'!$A$6:$A$105,0))=1,$B$128,$B$120*POWER($B$123,(INDEX('怪物总表'!$E$6:$E$105,MATCH(A104,'怪物总表'!$A$6:$A$105,0))-2)/$B$122))*IF(D104="精英",$B$125,1),0)</x:f>
        <x:v>213</x:v>
      </x:c>
    </x:row>
    <x:row r="105" ht="31.5" customHeight="1">
      <x:c r="A105" s="14" t="str">
        <x:v>MON_E017</x:v>
      </x:c>
      <x:c r="B105" s="14" t="str">
        <x:f>INDEX('怪物总表'!$B$6:$B$105,MATCH(A105,'怪物总表'!$A$6:$A$105,0))</x:f>
        <x:v>双迁幽灯王</x:v>
      </x:c>
      <x:c r="C105" s="14" t="str">
        <x:f>IF($B$6="有效",IF(AND($B$4&gt;=INDEX('怪物总表'!$E$6:$E$105,MATCH(A105,'怪物总表'!$A$6:$A$105,0)),$E$4&gt;=INDEX('怪物总表'!$F$6:$F$105,MATCH(A105,'怪物总表'!$A$6:$A$105,0))),"已达门槛","未达门槛"),"输入无效")</x:f>
        <x:v>未达门槛</x:v>
      </x:c>
      <x:c r="D105" s="14" t="str">
        <x:f>INDEX('怪物总表'!$C$6:$C$105,MATCH(A105,'怪物总表'!$A$6:$A$105,0))</x:f>
        <x:v>精英</x:v>
      </x:c>
      <x:c r="E105" s="24" t="n">
        <x:f>IF($B$6="有效",ROUND(INDEX('怪物总表'!$G$6:$G$105,MATCH(A105,'怪物总表'!$A$6:$A$105,0))*$B$5*$H$5*IF(D105="精英",$B$125,1),0),"输入无效")</x:f>
        <x:v>61</x:v>
      </x:c>
      <x:c r="F105" s="24" t="n">
        <x:f>IF($B$6="有效",ROUND(INDEX('怪物总表'!$H$6:$H$105,MATCH(A105,'怪物总表'!$A$6:$A$105,0))*$E$5*$K$5*IF(D105="精英",$B$126,1),0),"输入无效")</x:f>
        <x:v>7</x:v>
      </x:c>
      <x:c r="G105" s="24" t="n">
        <x:f>IF($B$6="有效",ROUND(F105*INDEX('怪物总表'!$K$6:$K$105,MATCH(A105,'怪物总表'!$A$6:$A$105,0)),0),"输入无效")</x:f>
        <x:v>7</x:v>
      </x:c>
      <x:c r="H105" s="24" t="n">
        <x:f>IF($B$6="有效",ROUND(INDEX('怪物总表'!$I$6:$I$105,MATCH(A105,'怪物总表'!$A$6:$A$105,0))*$B$5,0),"输入无效")</x:f>
        <x:v>0</x:v>
      </x:c>
      <x:c r="I105" s="24" t="n">
        <x:f>IF($B$6="有效",ROUND(INDEX('怪物总表'!$J$6:$J$105,MATCH(A105,'怪物总表'!$A$6:$A$105,0))*$B$5,0),"输入无效")</x:f>
        <x:v>0</x:v>
      </x:c>
      <x:c r="J105" s="28" t="n">
        <x:f>INDEX('怪物总表'!$L$6:$L$105,MATCH(A105,'怪物总表'!$A$6:$A$105,0))*IF(D105="精英",$B$127,1)</x:f>
        <x:v>5.6000000000000005</x:v>
      </x:c>
      <x:c r="K105" s="24" t="n">
        <x:f>1+INDEX('怪物总表'!$M$6:$M$105,MATCH(A105,'怪物总表'!$A$6:$A$105,0))</x:f>
        <x:v>1</x:v>
      </x:c>
      <x:c r="L105" s="24" t="n">
        <x:f>ROUND(INDEX('怪物总表'!$G$6:$G$105,MATCH(A105,'怪物总表'!$A$6:$A$105,0))*IF(INDEX('怪物总表'!$E$6:$E$105,MATCH(A105,'怪物总表'!$A$6:$A$105,0))=1,$B$128,$B$120*POWER($B$123,(INDEX('怪物总表'!$E$6:$E$105,MATCH(A105,'怪物总表'!$A$6:$A$105,0))-2)/$B$122))*IF(D105="精英",$B$125,1),0)</x:f>
        <x:v>118</x:v>
      </x:c>
    </x:row>
    <x:row r="106" ht="31.5" customHeight="1">
      <x:c r="A106" s="16" t="str">
        <x:v>MON_E018</x:v>
      </x:c>
      <x:c r="B106" s="16" t="str">
        <x:f>INDEX('怪物总表'!$B$6:$B$105,MATCH(A106,'怪物总表'!$A$6:$A$105,0))</x:f>
        <x:v>回拨牵线王</x:v>
      </x:c>
      <x:c r="C106" s="16" t="str">
        <x:f>IF($B$6="有效",IF(AND($B$4&gt;=INDEX('怪物总表'!$E$6:$E$105,MATCH(A106,'怪物总表'!$A$6:$A$105,0)),$E$4&gt;=INDEX('怪物总表'!$F$6:$F$105,MATCH(A106,'怪物总表'!$A$6:$A$105,0))),"已达门槛","未达门槛"),"输入无效")</x:f>
        <x:v>未达门槛</x:v>
      </x:c>
      <x:c r="D106" s="16" t="str">
        <x:f>INDEX('怪物总表'!$C$6:$C$105,MATCH(A106,'怪物总表'!$A$6:$A$105,0))</x:f>
        <x:v>精英</x:v>
      </x:c>
      <x:c r="E106" s="23" t="n">
        <x:f>IF($B$6="有效",ROUND(INDEX('怪物总表'!$G$6:$G$105,MATCH(A106,'怪物总表'!$A$6:$A$105,0))*$B$5*$H$5*IF(D106="精英",$B$125,1),0),"输入无效")</x:f>
        <x:v>70</x:v>
      </x:c>
      <x:c r="F106" s="23" t="n">
        <x:f>IF($B$6="有效",ROUND(INDEX('怪物总表'!$H$6:$H$105,MATCH(A106,'怪物总表'!$A$6:$A$105,0))*$E$5*$K$5*IF(D106="精英",$B$126,1),0),"输入无效")</x:f>
        <x:v>6</x:v>
      </x:c>
      <x:c r="G106" s="23" t="n">
        <x:f>IF($B$6="有效",ROUND(F106*INDEX('怪物总表'!$K$6:$K$105,MATCH(A106,'怪物总表'!$A$6:$A$105,0)),0),"输入无效")</x:f>
        <x:v>0</x:v>
      </x:c>
      <x:c r="H106" s="23" t="n">
        <x:f>IF($B$6="有效",ROUND(INDEX('怪物总表'!$I$6:$I$105,MATCH(A106,'怪物总表'!$A$6:$A$105,0))*$B$5,0),"输入无效")</x:f>
        <x:v>0</x:v>
      </x:c>
      <x:c r="I106" s="23" t="n">
        <x:f>IF($B$6="有效",ROUND(INDEX('怪物总表'!$J$6:$J$105,MATCH(A106,'怪物总表'!$A$6:$A$105,0))*$B$5,0),"输入无效")</x:f>
        <x:v>0</x:v>
      </x:c>
      <x:c r="J106" s="27" t="n">
        <x:f>INDEX('怪物总表'!$L$6:$L$105,MATCH(A106,'怪物总表'!$A$6:$A$105,0))*IF(D106="精英",$B$127,1)</x:f>
        <x:v>6.4</x:v>
      </x:c>
      <x:c r="K106" s="23" t="n">
        <x:f>1+INDEX('怪物总表'!$M$6:$M$105,MATCH(A106,'怪物总表'!$A$6:$A$105,0))</x:f>
        <x:v>1</x:v>
      </x:c>
      <x:c r="L106" s="23" t="n">
        <x:f>ROUND(INDEX('怪物总表'!$G$6:$G$105,MATCH(A106,'怪物总表'!$A$6:$A$105,0))*IF(INDEX('怪物总表'!$E$6:$E$105,MATCH(A106,'怪物总表'!$A$6:$A$105,0))=1,$B$128,$B$120*POWER($B$123,(INDEX('怪物总表'!$E$6:$E$105,MATCH(A106,'怪物总表'!$A$6:$A$105,0))-2)/$B$122))*IF(D106="精英",$B$125,1),0)</x:f>
        <x:v>147</x:v>
      </x:c>
    </x:row>
    <x:row r="107" ht="31.5" customHeight="1">
      <x:c r="A107" s="14" t="str">
        <x:v>MON_E019</x:v>
      </x:c>
      <x:c r="B107" s="14" t="str">
        <x:f>INDEX('怪物总表'!$B$6:$B$105,MATCH(A107,'怪物总表'!$A$6:$A$105,0))</x:f>
        <x:v>双锁垒墙王</x:v>
      </x:c>
      <x:c r="C107" s="14" t="str">
        <x:f>IF($B$6="有效",IF(AND($B$4&gt;=INDEX('怪物总表'!$E$6:$E$105,MATCH(A107,'怪物总表'!$A$6:$A$105,0)),$E$4&gt;=INDEX('怪物总表'!$F$6:$F$105,MATCH(A107,'怪物总表'!$A$6:$A$105,0))),"已达门槛","未达门槛"),"输入无效")</x:f>
        <x:v>未达门槛</x:v>
      </x:c>
      <x:c r="D107" s="14" t="str">
        <x:f>INDEX('怪物总表'!$C$6:$C$105,MATCH(A107,'怪物总表'!$A$6:$A$105,0))</x:f>
        <x:v>精英</x:v>
      </x:c>
      <x:c r="E107" s="24" t="n">
        <x:f>IF($B$6="有效",ROUND(INDEX('怪物总表'!$G$6:$G$105,MATCH(A107,'怪物总表'!$A$6:$A$105,0))*$B$5*$H$5*IF(D107="精英",$B$125,1),0),"输入无效")</x:f>
        <x:v>93</x:v>
      </x:c>
      <x:c r="F107" s="24" t="n">
        <x:f>IF($B$6="有效",ROUND(INDEX('怪物总表'!$H$6:$H$105,MATCH(A107,'怪物总表'!$A$6:$A$105,0))*$E$5*$K$5*IF(D107="精英",$B$126,1),0),"输入无效")</x:f>
        <x:v>4</x:v>
      </x:c>
      <x:c r="G107" s="24" t="n">
        <x:f>IF($B$6="有效",ROUND(F107*INDEX('怪物总表'!$K$6:$K$105,MATCH(A107,'怪物总表'!$A$6:$A$105,0)),0),"输入无效")</x:f>
        <x:v>0</x:v>
      </x:c>
      <x:c r="H107" s="24" t="n">
        <x:f>IF($B$6="有效",ROUND(INDEX('怪物总表'!$I$6:$I$105,MATCH(A107,'怪物总表'!$A$6:$A$105,0))*$B$5,0),"输入无效")</x:f>
        <x:v>0</x:v>
      </x:c>
      <x:c r="I107" s="24" t="n">
        <x:f>IF($B$6="有效",ROUND(INDEX('怪物总表'!$J$6:$J$105,MATCH(A107,'怪物总表'!$A$6:$A$105,0))*$B$5,0),"输入无效")</x:f>
        <x:v>0</x:v>
      </x:c>
      <x:c r="J107" s="28" t="n">
        <x:f>INDEX('怪物总表'!$L$6:$L$105,MATCH(A107,'怪物总表'!$A$6:$A$105,0))*IF(D107="精英",$B$127,1)</x:f>
        <x:v>7.2</x:v>
      </x:c>
      <x:c r="K107" s="24" t="n">
        <x:f>1+INDEX('怪物总表'!$M$6:$M$105,MATCH(A107,'怪物总表'!$A$6:$A$105,0))</x:f>
        <x:v>3</x:v>
      </x:c>
      <x:c r="L107" s="24" t="n">
        <x:f>ROUND(INDEX('怪物总表'!$G$6:$G$105,MATCH(A107,'怪物总表'!$A$6:$A$105,0))*IF(INDEX('怪物总表'!$E$6:$E$105,MATCH(A107,'怪物总表'!$A$6:$A$105,0))=1,$B$128,$B$120*POWER($B$123,(INDEX('怪物总表'!$E$6:$E$105,MATCH(A107,'怪物总表'!$A$6:$A$105,0))-2)/$B$122))*IF(D107="精英",$B$125,1),0)</x:f>
        <x:v>201</x:v>
      </x:c>
    </x:row>
    <x:row r="108" ht="31.5" customHeight="1">
      <x:c r="A108" s="17" t="str">
        <x:v>MON_E020</x:v>
      </x:c>
      <x:c r="B108" s="17" t="str">
        <x:f>INDEX('怪物总表'!$B$6:$B$105,MATCH(A108,'怪物总表'!$A$6:$A$105,0))</x:f>
        <x:v>复线蓄炮王</x:v>
      </x:c>
      <x:c r="C108" s="17" t="str">
        <x:f>IF($B$6="有效",IF(AND($B$4&gt;=INDEX('怪物总表'!$E$6:$E$105,MATCH(A108,'怪物总表'!$A$6:$A$105,0)),$E$4&gt;=INDEX('怪物总表'!$F$6:$F$105,MATCH(A108,'怪物总表'!$A$6:$A$105,0))),"已达门槛","未达门槛"),"输入无效")</x:f>
        <x:v>未达门槛</x:v>
      </x:c>
      <x:c r="D108" s="17" t="str">
        <x:f>INDEX('怪物总表'!$C$6:$C$105,MATCH(A108,'怪物总表'!$A$6:$A$105,0))</x:f>
        <x:v>精英</x:v>
      </x:c>
      <x:c r="E108" s="25" t="n">
        <x:f>IF($B$6="有效",ROUND(INDEX('怪物总表'!$G$6:$G$105,MATCH(A108,'怪物总表'!$A$6:$A$105,0))*$B$5*$H$5*IF(D108="精英",$B$125,1),0),"输入无效")</x:f>
        <x:v>134</x:v>
      </x:c>
      <x:c r="F108" s="25" t="n">
        <x:f>IF($B$6="有效",ROUND(INDEX('怪物总表'!$H$6:$H$105,MATCH(A108,'怪物总表'!$A$6:$A$105,0))*$E$5*$K$5*IF(D108="精英",$B$126,1),0),"输入无效")</x:f>
        <x:v>13</x:v>
      </x:c>
      <x:c r="G108" s="25" t="n">
        <x:f>IF($B$6="有效",ROUND(F108*INDEX('怪物总表'!$K$6:$K$105,MATCH(A108,'怪物总表'!$A$6:$A$105,0)),0),"输入无效")</x:f>
        <x:v>23</x:v>
      </x:c>
      <x:c r="H108" s="25" t="n">
        <x:f>IF($B$6="有效",ROUND(INDEX('怪物总表'!$I$6:$I$105,MATCH(A108,'怪物总表'!$A$6:$A$105,0))*$B$5,0),"输入无效")</x:f>
        <x:v>0</x:v>
      </x:c>
      <x:c r="I108" s="25" t="n">
        <x:f>IF($B$6="有效",ROUND(INDEX('怪物总表'!$J$6:$J$105,MATCH(A108,'怪物总表'!$A$6:$A$105,0))*$B$5,0),"输入无效")</x:f>
        <x:v>0</x:v>
      </x:c>
      <x:c r="J108" s="29" t="n">
        <x:f>INDEX('怪物总表'!$L$6:$L$105,MATCH(A108,'怪物总表'!$A$6:$A$105,0))*IF(D108="精英",$B$127,1)</x:f>
        <x:v>8</x:v>
      </x:c>
      <x:c r="K108" s="25" t="n">
        <x:f>1+INDEX('怪物总表'!$M$6:$M$105,MATCH(A108,'怪物总表'!$A$6:$A$105,0))</x:f>
        <x:v>1</x:v>
      </x:c>
      <x:c r="L108" s="25" t="n">
        <x:f>ROUND(INDEX('怪物总表'!$G$6:$G$105,MATCH(A108,'怪物总表'!$A$6:$A$105,0))*IF(INDEX('怪物总表'!$E$6:$E$105,MATCH(A108,'怪物总表'!$A$6:$A$105,0))=1,$B$128,$B$120*POWER($B$123,(INDEX('怪物总表'!$E$6:$E$105,MATCH(A108,'怪物总表'!$A$6:$A$105,0))-2)/$B$122))*IF(D108="精英",$B$125,1),0)</x:f>
        <x:v>302</x:v>
      </x:c>
    </x:row>
    <x:row r="118">
      <x:c r="A118" s="31" t="str">
        <x:v>可调测试配置</x:v>
      </x:c>
    </x:row>
    <x:row r="119">
      <x:c r="E119" t="str">
        <x:v>波次</x:v>
      </x:c>
      <x:c r="F119" t="n">
        <x:v>1</x:v>
      </x:c>
      <x:c r="G119" t="n">
        <x:v>2</x:v>
      </x:c>
      <x:c r="H119" t="n">
        <x:v>3</x:v>
      </x:c>
      <x:c r="I119" t="n">
        <x:v>4</x:v>
      </x:c>
      <x:c r="J119" t="n">
        <x:v>5</x:v>
      </x:c>
      <x:c r="K119" t="n">
        <x:v>6</x:v>
      </x:c>
    </x:row>
    <x:row r="120" ht="24" customHeight="1">
      <x:c r="A120" t="str">
        <x:v>第2层生命倍率</x:v>
      </x:c>
      <x:c r="B120" s="33" t="n">
        <x:v>1.45</x:v>
      </x:c>
      <x:c r="E120" t="str">
        <x:v>生命波倍率</x:v>
      </x:c>
      <x:c r="F120" s="33" t="n">
        <x:v>0.8</x:v>
      </x:c>
      <x:c r="G120" s="33" t="n">
        <x:v>0.9</x:v>
      </x:c>
      <x:c r="H120" s="33" t="n">
        <x:v>1</x:v>
      </x:c>
      <x:c r="I120" s="33" t="n">
        <x:v>1.1</x:v>
      </x:c>
      <x:c r="J120" s="33" t="n">
        <x:v>1.2</x:v>
      </x:c>
      <x:c r="K120" s="33" t="n">
        <x:v>1.32</x:v>
      </x:c>
    </x:row>
    <x:row r="121" ht="24" customHeight="1">
      <x:c r="A121" t="str">
        <x:v>第2层伤害倍率</x:v>
      </x:c>
      <x:c r="B121" s="33" t="n">
        <x:v>1.22</x:v>
      </x:c>
      <x:c r="E121" t="str">
        <x:v>伤害波倍率</x:v>
      </x:c>
      <x:c r="F121" s="33" t="n">
        <x:v>0.8</x:v>
      </x:c>
      <x:c r="G121" s="33" t="n">
        <x:v>0.85</x:v>
      </x:c>
      <x:c r="H121" s="33" t="n">
        <x:v>0.92</x:v>
      </x:c>
      <x:c r="I121" s="33" t="n">
        <x:v>1</x:v>
      </x:c>
      <x:c r="J121" s="33" t="n">
        <x:v>1.08</x:v>
      </x:c>
      <x:c r="K121" s="33" t="n">
        <x:v>1.16</x:v>
      </x:c>
    </x:row>
    <x:row r="122" ht="24" customHeight="1">
      <x:c r="A122" t="str">
        <x:v>每几层一个增长步进</x:v>
      </x:c>
      <x:c r="B122" s="33" t="n">
        <x:v>5</x:v>
      </x:c>
      <x:c r="E122" t="str">
        <x:v>编队预算</x:v>
      </x:c>
      <x:c r="F122" s="33" t="n">
        <x:v>4</x:v>
      </x:c>
      <x:c r="G122" s="33" t="n">
        <x:v>5</x:v>
      </x:c>
      <x:c r="H122" s="33" t="n">
        <x:v>6</x:v>
      </x:c>
      <x:c r="I122" s="33" t="n">
        <x:v>7.5</x:v>
      </x:c>
      <x:c r="J122" s="33" t="n">
        <x:v>9</x:v>
      </x:c>
      <x:c r="K122" s="33" t="n">
        <x:v>11</x:v>
      </x:c>
    </x:row>
    <x:row r="123" ht="24" customHeight="1">
      <x:c r="A123" t="str">
        <x:v>每步生命倍率</x:v>
      </x:c>
      <x:c r="B123" s="33" t="n">
        <x:v>1.2</x:v>
      </x:c>
    </x:row>
    <x:row r="124" ht="24" customHeight="1">
      <x:c r="A124" t="str">
        <x:v>每步伤害倍率</x:v>
      </x:c>
      <x:c r="B124" s="33" t="n">
        <x:v>1.08</x:v>
      </x:c>
    </x:row>
    <x:row r="125" ht="24" customHeight="1">
      <x:c r="A125" t="str">
        <x:v>精英生命倍率</x:v>
      </x:c>
      <x:c r="B125" s="33" t="n">
        <x:v>1.6</x:v>
      </x:c>
    </x:row>
    <x:row r="126" ht="24" customHeight="1">
      <x:c r="A126" t="str">
        <x:v>精英伤害倍率</x:v>
      </x:c>
      <x:c r="B126" s="33" t="n">
        <x:v>1.2</x:v>
      </x:c>
    </x:row>
    <x:row r="127" ht="24" customHeight="1">
      <x:c r="A127" t="str">
        <x:v>精英预算倍率</x:v>
      </x:c>
      <x:c r="B127" s="33" t="n">
        <x:v>1.6</x:v>
      </x:c>
    </x:row>
    <x:row r="128" ht="24" customHeight="1">
      <x:c r="A128" t="str">
        <x:v>第1层生命倍率</x:v>
      </x:c>
      <x:c r="B128" s="33" t="n">
        <x:v>1</x:v>
      </x:c>
    </x:row>
    <x:row r="129" ht="24" customHeight="1">
      <x:c r="A129" t="str">
        <x:v>第1层伤害倍率</x:v>
      </x:c>
      <x:c r="B129" s="33" t="n">
        <x:v>1</x:v>
      </x:c>
    </x:row>
    <x:row r="130" ht="24" customHeight="1">
      <x:c r="A130" t="str">
        <x:v>强固分担伤害比例</x:v>
      </x:c>
      <x:c r="B130" s="33" t="n">
        <x:v>0.5</x:v>
      </x:c>
    </x:row>
    <x:row r="133">
      <x:c r="A133" t="str">
        <x:v>调参边界</x:v>
      </x:c>
      <x:c r="B133" s="35" t="str">
        <x:v>整数取整可能让相邻层某一属性暂时相同。层系数持续增加；数值曲线不保证无限可通关。</x:v>
      </x:c>
    </x:row>
  </x:sheetData>
  <x:conditionalFormatting sqref="C9:C108">
    <x:cfRule type="containsText" dxfId="1" priority="1" operator="containsText" text="未达门槛"/>
  </x:conditionalFormatting>
  <x:conditionalFormatting sqref="B6:B6">
    <x:cfRule type="containsText" dxfId="2" priority="2" operator="containsText" text="输入无效"/>
  </x:conditionalFormatting>
  <x:dataValidations count="2">
    <x:dataValidation type="whole" operator="between" sqref="B4">
      <x:formula1>1</x:formula1>
      <x:formula2>100</x:formula2>
    </x:dataValidation>
    <x:dataValidation type="whole" operator="between" sqref="E4">
      <x:formula1>1</x:formula1>
      <x:formula2>6</x:formula2>
    </x:dataValidation>
  </x:dataValidations>
  <x:pageMargins left="0.7" right="0.7" top="0.75" bottom="0.75" header="0.3" footer="0.3"/>
  <x:tableParts count="1">
    <x:tablePart xmlns:r="http://schemas.openxmlformats.org/officeDocument/2006/relationships" r:id="R22a0ada6c9734483"/>
  </x:tableParts>
</x:worksheet>
</file>

<file path=xl/worksheets/sheet4.xml><?xml version="1.0" encoding="utf-8"?>
<x:worksheet xmlns:x="http://schemas.openxmlformats.org/spreadsheetml/2006/main">
  <x:sheetPr>
    <x:tabColor rgb="FF657A5B"/>
  </x:sheetPr>
  <x:sheetViews>
    <x:sheetView showGridLines="0" workbookViewId="0">
      <x:pane xSplit="1" ySplit="5" topLeftCell="B6" activePane="bottomRight" state="frozen"/>
    </x:sheetView>
  </x:sheetViews>
  <x:sheetFormatPr defaultRowHeight="15"/>
  <x:cols>
    <x:col min="1" max="1" width="9.4399995803833" hidden="0" customWidth="1"/>
    <x:col min="2" max="2" width="11.109999656677246" hidden="0" customWidth="1"/>
    <x:col min="3" max="3" width="13.890000343322754" hidden="0" customWidth="1"/>
    <x:col min="4" max="4" width="13.890000343322754" hidden="0" customWidth="1"/>
    <x:col min="5" max="5" width="13.329999923706055" hidden="0" customWidth="1"/>
    <x:col min="6" max="6" width="13.329999923706055" hidden="0" customWidth="1"/>
    <x:col min="7" max="7" width="19.440000534057617"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s>
  <x:sheetData>
    <x:row r="1" ht="9" customHeight="1">
      <x:c r="A1" s="3"/>
      <x:c r="B1" s="3"/>
      <x:c r="C1" s="3"/>
      <x:c r="D1" s="3"/>
      <x:c r="E1" s="3"/>
      <x:c r="F1" s="3"/>
      <x:c r="G1" s="3"/>
      <x:c r="H1" s="3"/>
      <x:c r="I1" s="3"/>
      <x:c r="J1" s="3"/>
      <x:c r="K1" s="3"/>
      <x:c r="L1" s="3"/>
      <x:c r="M1" s="3"/>
    </x:row>
    <x:row r="2" ht="24" customHeight="1">
      <x:c r="A2" s="4" t="str">
        <x:v>第1至100层的成长与解锁</x:v>
      </x:c>
      <x:c r="B2" s="3"/>
      <x:c r="C2" s="3"/>
      <x:c r="D2" s="3"/>
      <x:c r="E2" s="3"/>
      <x:c r="F2" s="3"/>
      <x:c r="G2" s="3"/>
      <x:c r="H2" s="3"/>
      <x:c r="I2" s="3"/>
      <x:c r="J2" s="3"/>
      <x:c r="K2" s="3"/>
      <x:c r="L2" s="3"/>
      <x:c r="M2" s="3"/>
    </x:row>
    <x:row r="3" ht="21" customHeight="1">
      <x:c r="A3" s="5" t="str">
        <x:v>解锁数仅核层门槛；每波还受最早波次、预算、主题与禁配限制。主题提高权重，不排除其他主题。第3层以后均待实战调优。</x:v>
      </x:c>
      <x:c r="B3" s="3"/>
      <x:c r="C3" s="3"/>
      <x:c r="D3" s="3"/>
      <x:c r="E3" s="3"/>
      <x:c r="F3" s="3"/>
      <x:c r="G3" s="3"/>
      <x:c r="H3" s="3"/>
      <x:c r="I3" s="3"/>
      <x:c r="J3" s="3"/>
      <x:c r="K3" s="3"/>
      <x:c r="L3" s="3"/>
      <x:c r="M3" s="3"/>
    </x:row>
    <x:row r="4">
      <x:c r="A4" s="6"/>
      <x:c r="B4" s="6"/>
      <x:c r="C4" s="6"/>
      <x:c r="D4" s="6"/>
      <x:c r="E4" s="6"/>
      <x:c r="F4" s="6"/>
      <x:c r="G4" s="6"/>
      <x:c r="H4" s="6"/>
      <x:c r="I4" s="6"/>
      <x:c r="J4" s="6"/>
      <x:c r="K4" s="6"/>
      <x:c r="L4" s="6"/>
      <x:c r="M4" s="6"/>
    </x:row>
    <x:row r="5" ht="36" customHeight="1">
      <x:c r="A5" s="10" t="str">
        <x:v>地牢层</x:v>
      </x:c>
      <x:c r="B5" s="10" t="str">
        <x:v>主题</x:v>
      </x:c>
      <x:c r="C5" s="10" t="str">
        <x:v>生命层倍率</x:v>
      </x:c>
      <x:c r="D5" s="10" t="str">
        <x:v>伤害层倍率</x:v>
      </x:c>
      <x:c r="E5" s="10" t="str">
        <x:v>已解锁普通</x:v>
      </x:c>
      <x:c r="F5" s="10" t="str">
        <x:v>已解锁精英</x:v>
      </x:c>
      <x:c r="G5" s="10" t="str">
        <x:v>下层开场/本层末波生命</x:v>
      </x:c>
      <x:c r="H5" s="10" t="str">
        <x:v>第1波预算</x:v>
      </x:c>
      <x:c r="I5" s="10" t="str">
        <x:v>第2波预算</x:v>
      </x:c>
      <x:c r="J5" s="10" t="str">
        <x:v>第3波预算</x:v>
      </x:c>
      <x:c r="K5" s="10" t="str">
        <x:v>第4波预算</x:v>
      </x:c>
      <x:c r="L5" s="10" t="str">
        <x:v>第5波预算</x:v>
      </x:c>
      <x:c r="M5" s="10" t="str">
        <x:v>第6波预算</x:v>
      </x:c>
    </x:row>
    <x:row r="6" ht="31.5" customHeight="1">
      <x:c r="A6" s="22" t="n">
        <x:v>1</x:v>
      </x:c>
      <x:c r="B6" s="13" t="str">
        <x:v>血肉</x:v>
      </x:c>
      <x:c r="C6" s="36" t="n">
        <x:f>IF(A6=1,'数值推演'!$B$128,'数值推演'!$B$120*POWER('数值推演'!$B$123,(A6-2)/'数值推演'!$B$122))</x:f>
        <x:v>1</x:v>
      </x:c>
      <x:c r="D6" s="36" t="n">
        <x:f>IF(A6=1,'数值推演'!$B$129,'数值推演'!$B$121*POWER('数值推演'!$B$124,(A6-2)/'数值推演'!$B$122))</x:f>
        <x:v>1</x:v>
      </x:c>
      <x:c r="E6" s="22" t="n">
        <x:f>COUNTIFS('怪物总表'!$C$6:$C$105,"普通",'怪物总表'!$E$6:$E$105,"&lt;="&amp;A6)</x:f>
        <x:v>2</x:v>
      </x:c>
      <x:c r="F6" s="22" t="n">
        <x:f>COUNTIFS('怪物总表'!$C$6:$C$105,"精英",'怪物总表'!$E$6:$E$105,"&lt;="&amp;A6)</x:f>
        <x:v>0</x:v>
      </x:c>
      <x:c r="G6" s="40" t="n">
        <x:f>C7*'数值推演'!$F$120/(C6*'数值推演'!$K$120)</x:f>
        <x:v>0.8787878787878787</x:v>
      </x:c>
      <x:c r="H6" s="22" t="n">
        <x:f>'数值推演'!F$122</x:f>
        <x:v>4</x:v>
      </x:c>
      <x:c r="I6" s="22" t="n">
        <x:f>'数值推演'!G$122</x:f>
        <x:v>5</x:v>
      </x:c>
      <x:c r="J6" s="22" t="n">
        <x:f>'数值推演'!H$122</x:f>
        <x:v>6</x:v>
      </x:c>
      <x:c r="K6" s="22" t="n">
        <x:f>'数值推演'!I$122</x:f>
        <x:v>7.5</x:v>
      </x:c>
      <x:c r="L6" s="22" t="n">
        <x:f>'数值推演'!J$122</x:f>
        <x:v>9</x:v>
      </x:c>
      <x:c r="M6" s="22" t="n">
        <x:f>'数值推演'!K$122</x:f>
        <x:v>11</x:v>
      </x:c>
    </x:row>
    <x:row r="7" ht="31.5" customHeight="1">
      <x:c r="A7" s="23" t="n">
        <x:v>2</x:v>
      </x:c>
      <x:c r="B7" s="16" t="str">
        <x:v>血肉</x:v>
      </x:c>
      <x:c r="C7" s="37" t="n">
        <x:f>IF(A7=1,'数值推演'!$B$128,'数值推演'!$B$120*POWER('数值推演'!$B$123,(A7-2)/'数值推演'!$B$122))</x:f>
        <x:v>1.45</x:v>
      </x:c>
      <x:c r="D7" s="37" t="n">
        <x:f>IF(A7=1,'数值推演'!$B$129,'数值推演'!$B$121*POWER('数值推演'!$B$124,(A7-2)/'数值推演'!$B$122))</x:f>
        <x:v>1.22</x:v>
      </x:c>
      <x:c r="E7" s="23" t="n">
        <x:f>COUNTIFS('怪物总表'!$C$6:$C$105,"普通",'怪物总表'!$E$6:$E$105,"&lt;="&amp;A7)</x:f>
        <x:v>4</x:v>
      </x:c>
      <x:c r="F7" s="23" t="n">
        <x:f>COUNTIFS('怪物总表'!$C$6:$C$105,"精英",'怪物总表'!$E$6:$E$105,"&lt;="&amp;A7)</x:f>
        <x:v>0</x:v>
      </x:c>
      <x:c r="G7" s="41" t="n">
        <x:f>C8*'数值推演'!$F$120/(C7*'数值推演'!$K$120)</x:f>
        <x:v>0.6285680541434233</x:v>
      </x:c>
      <x:c r="H7" s="23" t="n">
        <x:f>'数值推演'!F$122</x:f>
        <x:v>4</x:v>
      </x:c>
      <x:c r="I7" s="23" t="n">
        <x:f>'数值推演'!G$122</x:f>
        <x:v>5</x:v>
      </x:c>
      <x:c r="J7" s="23" t="n">
        <x:f>'数值推演'!H$122</x:f>
        <x:v>6</x:v>
      </x:c>
      <x:c r="K7" s="23" t="n">
        <x:f>'数值推演'!I$122</x:f>
        <x:v>7.5</x:v>
      </x:c>
      <x:c r="L7" s="23" t="n">
        <x:f>'数值推演'!J$122</x:f>
        <x:v>9</x:v>
      </x:c>
      <x:c r="M7" s="23" t="n">
        <x:f>'数值推演'!K$122</x:f>
        <x:v>11</x:v>
      </x:c>
    </x:row>
    <x:row r="8" ht="31.5" customHeight="1">
      <x:c r="A8" s="24" t="n">
        <x:v>3</x:v>
      </x:c>
      <x:c r="B8" s="14" t="str">
        <x:v>血肉</x:v>
      </x:c>
      <x:c r="C8" s="38" t="n">
        <x:f>IF(A8=1,'数值推演'!$B$128,'数值推演'!$B$120*POWER('数值推演'!$B$123,(A8-2)/'数值推演'!$B$122))</x:f>
        <x:v>1.50384906953814</x:v>
      </x:c>
      <x:c r="D8" s="38" t="n">
        <x:f>IF(A8=1,'数值推演'!$B$129,'数值推演'!$B$121*POWER('数值推演'!$B$124,(A8-2)/'数值推演'!$B$122))</x:f>
        <x:v>1.2389237596449274</x:v>
      </x:c>
      <x:c r="E8" s="24" t="n">
        <x:f>COUNTIFS('怪物总表'!$C$6:$C$105,"普通",'怪物总表'!$E$6:$E$105,"&lt;="&amp;A8)</x:f>
        <x:v>7</x:v>
      </x:c>
      <x:c r="F8" s="24" t="n">
        <x:f>COUNTIFS('怪物总表'!$C$6:$C$105,"精英",'怪物总表'!$E$6:$E$105,"&lt;="&amp;A8)</x:f>
        <x:v>1</x:v>
      </x:c>
      <x:c r="G8" s="42" t="n">
        <x:f>C9*'数值推演'!$F$120/(C8*'数值推演'!$K$120)</x:f>
        <x:v>0.628568054143423</x:v>
      </x:c>
      <x:c r="H8" s="24" t="n">
        <x:f>'数值推演'!F$122</x:f>
        <x:v>4</x:v>
      </x:c>
      <x:c r="I8" s="24" t="n">
        <x:f>'数值推演'!G$122</x:f>
        <x:v>5</x:v>
      </x:c>
      <x:c r="J8" s="24" t="n">
        <x:f>'数值推演'!H$122</x:f>
        <x:v>6</x:v>
      </x:c>
      <x:c r="K8" s="24" t="n">
        <x:f>'数值推演'!I$122</x:f>
        <x:v>7.5</x:v>
      </x:c>
      <x:c r="L8" s="24" t="n">
        <x:f>'数值推演'!J$122</x:f>
        <x:v>9</x:v>
      </x:c>
      <x:c r="M8" s="24" t="n">
        <x:f>'数值推演'!K$122</x:f>
        <x:v>11</x:v>
      </x:c>
    </x:row>
    <x:row r="9" ht="31.5" customHeight="1">
      <x:c r="A9" s="23" t="n">
        <x:v>4</x:v>
      </x:c>
      <x:c r="B9" s="16" t="str">
        <x:v>结晶</x:v>
      </x:c>
      <x:c r="C9" s="37" t="n">
        <x:f>IF(A9=1,'数值推演'!$B$128,'数值推演'!$B$120*POWER('数值推演'!$B$123,(A9-2)/'数值推演'!$B$122))</x:f>
        <x:v>1.5596979475522266</x:v>
      </x:c>
      <x:c r="D9" s="37" t="n">
        <x:f>IF(A9=1,'数值推演'!$B$129,'数值推演'!$B$121*POWER('数值推演'!$B$124,(A9-2)/'数值推演'!$B$122))</x:f>
        <x:v>1.2581410509940345</x:v>
      </x:c>
      <x:c r="E9" s="23" t="n">
        <x:f>COUNTIFS('怪物总表'!$C$6:$C$105,"普通",'怪物总表'!$E$6:$E$105,"&lt;="&amp;A9)</x:f>
        <x:v>11</x:v>
      </x:c>
      <x:c r="F9" s="23" t="n">
        <x:f>COUNTIFS('怪物总表'!$C$6:$C$105,"精英",'怪物总表'!$E$6:$E$105,"&lt;="&amp;A9)</x:f>
        <x:v>3</x:v>
      </x:c>
      <x:c r="G9" s="41" t="n">
        <x:f>C10*'数值推演'!$F$120/(C9*'数值推演'!$K$120)</x:f>
        <x:v>0.6285680541434231</x:v>
      </x:c>
      <x:c r="H9" s="23" t="n">
        <x:f>'数值推演'!F$122</x:f>
        <x:v>4</x:v>
      </x:c>
      <x:c r="I9" s="23" t="n">
        <x:f>'数值推演'!G$122</x:f>
        <x:v>5</x:v>
      </x:c>
      <x:c r="J9" s="23" t="n">
        <x:f>'数值推演'!H$122</x:f>
        <x:v>6</x:v>
      </x:c>
      <x:c r="K9" s="23" t="n">
        <x:f>'数值推演'!I$122</x:f>
        <x:v>7.5</x:v>
      </x:c>
      <x:c r="L9" s="23" t="n">
        <x:f>'数值推演'!J$122</x:f>
        <x:v>9</x:v>
      </x:c>
      <x:c r="M9" s="23" t="n">
        <x:f>'数值推演'!K$122</x:f>
        <x:v>11</x:v>
      </x:c>
    </x:row>
    <x:row r="10" ht="31.5" customHeight="1">
      <x:c r="A10" s="24" t="n">
        <x:v>5</x:v>
      </x:c>
      <x:c r="B10" s="14" t="str">
        <x:v>结晶</x:v>
      </x:c>
      <x:c r="C10" s="38" t="n">
        <x:f>IF(A10=1,'数值推演'!$B$128,'数值推演'!$B$120*POWER('数值推演'!$B$123,(A10-2)/'数值推演'!$B$122))</x:f>
        <x:v>1.6176209015082499</x:v>
      </x:c>
      <x:c r="D10" s="38" t="n">
        <x:f>IF(A10=1,'数值推演'!$B$129,'数值推演'!$B$121*POWER('数值推演'!$B$124,(A10-2)/'数值推演'!$B$122))</x:f>
        <x:v>1.2776564270993032</x:v>
      </x:c>
      <x:c r="E10" s="24" t="n">
        <x:f>COUNTIFS('怪物总表'!$C$6:$C$105,"普通",'怪物总表'!$E$6:$E$105,"&lt;="&amp;A10)</x:f>
        <x:v>16</x:v>
      </x:c>
      <x:c r="F10" s="24" t="n">
        <x:f>COUNTIFS('怪物总表'!$C$6:$C$105,"精英",'怪物总表'!$E$6:$E$105,"&lt;="&amp;A10)</x:f>
        <x:v>6</x:v>
      </x:c>
      <x:c r="G10" s="42" t="n">
        <x:f>C11*'数值推演'!$F$120/(C10*'数值推演'!$K$120)</x:f>
        <x:v>0.6285680541434232</x:v>
      </x:c>
      <x:c r="H10" s="24" t="n">
        <x:f>'数值推演'!F$122</x:f>
        <x:v>4</x:v>
      </x:c>
      <x:c r="I10" s="24" t="n">
        <x:f>'数值推演'!G$122</x:f>
        <x:v>5</x:v>
      </x:c>
      <x:c r="J10" s="24" t="n">
        <x:f>'数值推演'!H$122</x:f>
        <x:v>6</x:v>
      </x:c>
      <x:c r="K10" s="24" t="n">
        <x:f>'数值推演'!I$122</x:f>
        <x:v>7.5</x:v>
      </x:c>
      <x:c r="L10" s="24" t="n">
        <x:f>'数值推演'!J$122</x:f>
        <x:v>9</x:v>
      </x:c>
      <x:c r="M10" s="24" t="n">
        <x:f>'数值推演'!K$122</x:f>
        <x:v>11</x:v>
      </x:c>
    </x:row>
    <x:row r="11" ht="31.5" customHeight="1">
      <x:c r="A11" s="23" t="n">
        <x:v>6</x:v>
      </x:c>
      <x:c r="B11" s="16" t="str">
        <x:v>结晶</x:v>
      </x:c>
      <x:c r="C11" s="37" t="n">
        <x:f>IF(A11=1,'数值推演'!$B$128,'数值推演'!$B$120*POWER('数值推演'!$B$123,(A11-2)/'数值推演'!$B$122))</x:f>
        <x:v>1.6776949569645714</x:v>
      </x:c>
      <x:c r="D11" s="37" t="n">
        <x:f>IF(A11=1,'数值推演'!$B$129,'数值推演'!$B$121*POWER('数值推演'!$B$124,(A11-2)/'数值推演'!$B$122))</x:f>
        <x:v>1.2974745116363717</x:v>
      </x:c>
      <x:c r="E11" s="23" t="n">
        <x:f>COUNTIFS('怪物总表'!$C$6:$C$105,"普通",'怪物总表'!$E$6:$E$105,"&lt;="&amp;A11)</x:f>
        <x:v>21</x:v>
      </x:c>
      <x:c r="F11" s="23" t="n">
        <x:f>COUNTIFS('怪物总表'!$C$6:$C$105,"精英",'怪物总表'!$E$6:$E$105,"&lt;="&amp;A11)</x:f>
        <x:v>8</x:v>
      </x:c>
      <x:c r="G11" s="41" t="n">
        <x:f>C12*'数值推演'!$F$120/(C11*'数值推演'!$K$120)</x:f>
        <x:v>0.6285680541434231</x:v>
      </x:c>
      <x:c r="H11" s="23" t="n">
        <x:f>'数值推演'!F$122</x:f>
        <x:v>4</x:v>
      </x:c>
      <x:c r="I11" s="23" t="n">
        <x:f>'数值推演'!G$122</x:f>
        <x:v>5</x:v>
      </x:c>
      <x:c r="J11" s="23" t="n">
        <x:f>'数值推演'!H$122</x:f>
        <x:v>6</x:v>
      </x:c>
      <x:c r="K11" s="23" t="n">
        <x:f>'数值推演'!I$122</x:f>
        <x:v>7.5</x:v>
      </x:c>
      <x:c r="L11" s="23" t="n">
        <x:f>'数值推演'!J$122</x:f>
        <x:v>9</x:v>
      </x:c>
      <x:c r="M11" s="23" t="n">
        <x:f>'数值推演'!K$122</x:f>
        <x:v>11</x:v>
      </x:c>
    </x:row>
    <x:row r="12" ht="31.5" customHeight="1">
      <x:c r="A12" s="24" t="n">
        <x:v>7</x:v>
      </x:c>
      <x:c r="B12" s="14" t="str">
        <x:v>幽魂</x:v>
      </x:c>
      <x:c r="C12" s="38" t="n">
        <x:f>IF(A12=1,'数值推演'!$B$128,'数值推演'!$B$120*POWER('数值推演'!$B$123,(A12-2)/'数值推演'!$B$122))</x:f>
        <x:v>1.74</x:v>
      </x:c>
      <x:c r="D12" s="38" t="n">
        <x:f>IF(A12=1,'数值推演'!$B$129,'数值推演'!$B$121*POWER('数值推演'!$B$124,(A12-2)/'数值推演'!$B$122))</x:f>
        <x:v>1.3176</x:v>
      </x:c>
      <x:c r="E12" s="24" t="n">
        <x:f>COUNTIFS('怪物总表'!$C$6:$C$105,"普通",'怪物总表'!$E$6:$E$105,"&lt;="&amp;A12)</x:f>
        <x:v>27</x:v>
      </x:c>
      <x:c r="F12" s="24" t="n">
        <x:f>COUNTIFS('怪物总表'!$C$6:$C$105,"精英",'怪物总表'!$E$6:$E$105,"&lt;="&amp;A12)</x:f>
        <x:v>10</x:v>
      </x:c>
      <x:c r="G12" s="42" t="n">
        <x:f>C13*'数值推演'!$F$120/(C12*'数值推演'!$K$120)</x:f>
        <x:v>0.6285680541434231</x:v>
      </x:c>
      <x:c r="H12" s="24" t="n">
        <x:f>'数值推演'!F$122</x:f>
        <x:v>4</x:v>
      </x:c>
      <x:c r="I12" s="24" t="n">
        <x:f>'数值推演'!G$122</x:f>
        <x:v>5</x:v>
      </x:c>
      <x:c r="J12" s="24" t="n">
        <x:f>'数值推演'!H$122</x:f>
        <x:v>6</x:v>
      </x:c>
      <x:c r="K12" s="24" t="n">
        <x:f>'数值推演'!I$122</x:f>
        <x:v>7.5</x:v>
      </x:c>
      <x:c r="L12" s="24" t="n">
        <x:f>'数值推演'!J$122</x:f>
        <x:v>9</x:v>
      </x:c>
      <x:c r="M12" s="24" t="n">
        <x:f>'数值推演'!K$122</x:f>
        <x:v>11</x:v>
      </x:c>
    </x:row>
    <x:row r="13" ht="31.5" customHeight="1">
      <x:c r="A13" s="23" t="n">
        <x:v>8</x:v>
      </x:c>
      <x:c r="B13" s="16" t="str">
        <x:v>幽魂</x:v>
      </x:c>
      <x:c r="C13" s="37" t="n">
        <x:f>IF(A13=1,'数值推演'!$B$128,'数值推演'!$B$120*POWER('数值推演'!$B$123,(A13-2)/'数值推演'!$B$122))</x:f>
        <x:v>1.8046188834457675</x:v>
      </x:c>
      <x:c r="D13" s="37" t="n">
        <x:f>IF(A13=1,'数值推演'!$B$129,'数值推演'!$B$121*POWER('数值推演'!$B$124,(A13-2)/'数值推演'!$B$122))</x:f>
        <x:v>1.3380376604165218</x:v>
      </x:c>
      <x:c r="E13" s="23" t="n">
        <x:f>COUNTIFS('怪物总表'!$C$6:$C$105,"普通",'怪物总表'!$E$6:$E$105,"&lt;="&amp;A13)</x:f>
        <x:v>34</x:v>
      </x:c>
      <x:c r="F13" s="23" t="n">
        <x:f>COUNTIFS('怪物总表'!$C$6:$C$105,"精英",'怪物总表'!$E$6:$E$105,"&lt;="&amp;A13)</x:f>
        <x:v>12</x:v>
      </x:c>
      <x:c r="G13" s="41" t="n">
        <x:f>C14*'数值推演'!$F$120/(C13*'数值推演'!$K$120)</x:f>
        <x:v>0.6285680541434231</x:v>
      </x:c>
      <x:c r="H13" s="23" t="n">
        <x:f>'数值推演'!F$122</x:f>
        <x:v>4</x:v>
      </x:c>
      <x:c r="I13" s="23" t="n">
        <x:f>'数值推演'!G$122</x:f>
        <x:v>5</x:v>
      </x:c>
      <x:c r="J13" s="23" t="n">
        <x:f>'数值推演'!H$122</x:f>
        <x:v>6</x:v>
      </x:c>
      <x:c r="K13" s="23" t="n">
        <x:f>'数值推演'!I$122</x:f>
        <x:v>7.5</x:v>
      </x:c>
      <x:c r="L13" s="23" t="n">
        <x:f>'数值推演'!J$122</x:f>
        <x:v>9</x:v>
      </x:c>
      <x:c r="M13" s="23" t="n">
        <x:f>'数值推演'!K$122</x:f>
        <x:v>11</x:v>
      </x:c>
    </x:row>
    <x:row r="14" ht="31.5" customHeight="1">
      <x:c r="A14" s="24" t="n">
        <x:v>9</x:v>
      </x:c>
      <x:c r="B14" s="14" t="str">
        <x:v>幽魂</x:v>
      </x:c>
      <x:c r="C14" s="38" t="n">
        <x:f>IF(A14=1,'数值推演'!$B$128,'数值推演'!$B$120*POWER('数值推演'!$B$123,(A14-2)/'数值推演'!$B$122))</x:f>
        <x:v>1.8716375370626719</x:v>
      </x:c>
      <x:c r="D14" s="38" t="n">
        <x:f>IF(A14=1,'数值推演'!$B$129,'数值推演'!$B$121*POWER('数值推演'!$B$124,(A14-2)/'数值推演'!$B$122))</x:f>
        <x:v>1.3587923350735573</x:v>
      </x:c>
      <x:c r="E14" s="24" t="n">
        <x:f>COUNTIFS('怪物总表'!$C$6:$C$105,"普通",'怪物总表'!$E$6:$E$105,"&lt;="&amp;A14)</x:f>
        <x:v>40</x:v>
      </x:c>
      <x:c r="F14" s="24" t="n">
        <x:f>COUNTIFS('怪物总表'!$C$6:$C$105,"精英",'怪物总表'!$E$6:$E$105,"&lt;="&amp;A14)</x:f>
        <x:v>14</x:v>
      </x:c>
      <x:c r="G14" s="42" t="n">
        <x:f>C15*'数值推演'!$F$120/(C14*'数值推演'!$K$120)</x:f>
        <x:v>0.6285680541434232</x:v>
      </x:c>
      <x:c r="H14" s="24" t="n">
        <x:f>'数值推演'!F$122</x:f>
        <x:v>4</x:v>
      </x:c>
      <x:c r="I14" s="24" t="n">
        <x:f>'数值推演'!G$122</x:f>
        <x:v>5</x:v>
      </x:c>
      <x:c r="J14" s="24" t="n">
        <x:f>'数值推演'!H$122</x:f>
        <x:v>6</x:v>
      </x:c>
      <x:c r="K14" s="24" t="n">
        <x:f>'数值推演'!I$122</x:f>
        <x:v>7.5</x:v>
      </x:c>
      <x:c r="L14" s="24" t="n">
        <x:f>'数值推演'!J$122</x:f>
        <x:v>9</x:v>
      </x:c>
      <x:c r="M14" s="24" t="n">
        <x:f>'数值推演'!K$122</x:f>
        <x:v>11</x:v>
      </x:c>
    </x:row>
    <x:row r="15" ht="31.5" customHeight="1">
      <x:c r="A15" s="23" t="n">
        <x:v>10</x:v>
      </x:c>
      <x:c r="B15" s="16" t="str">
        <x:v>血肉</x:v>
      </x:c>
      <x:c r="C15" s="37" t="n">
        <x:f>IF(A15=1,'数值推演'!$B$128,'数值推演'!$B$120*POWER('数值推演'!$B$123,(A15-2)/'数值推演'!$B$122))</x:f>
        <x:v>1.9411450818098999</x:v>
      </x:c>
      <x:c r="D15" s="37" t="n">
        <x:f>IF(A15=1,'数值推演'!$B$129,'数值推演'!$B$121*POWER('数值推演'!$B$124,(A15-2)/'数值推演'!$B$122))</x:f>
        <x:v>1.3798689412672471</x:v>
      </x:c>
      <x:c r="E15" s="23" t="n">
        <x:f>COUNTIFS('怪物总表'!$C$6:$C$105,"普通",'怪物总表'!$E$6:$E$105,"&lt;="&amp;A15)</x:f>
        <x:v>47</x:v>
      </x:c>
      <x:c r="F15" s="23" t="n">
        <x:f>COUNTIFS('怪物总表'!$C$6:$C$105,"精英",'怪物总表'!$E$6:$E$105,"&lt;="&amp;A15)</x:f>
        <x:v>16</x:v>
      </x:c>
      <x:c r="G15" s="41" t="n">
        <x:f>C16*'数值推演'!$F$120/(C15*'数值推演'!$K$120)</x:f>
        <x:v>0.6285680541434231</x:v>
      </x:c>
      <x:c r="H15" s="23" t="n">
        <x:f>'数值推演'!F$122</x:f>
        <x:v>4</x:v>
      </x:c>
      <x:c r="I15" s="23" t="n">
        <x:f>'数值推演'!G$122</x:f>
        <x:v>5</x:v>
      </x:c>
      <x:c r="J15" s="23" t="n">
        <x:f>'数值推演'!H$122</x:f>
        <x:v>6</x:v>
      </x:c>
      <x:c r="K15" s="23" t="n">
        <x:f>'数值推演'!I$122</x:f>
        <x:v>7.5</x:v>
      </x:c>
      <x:c r="L15" s="23" t="n">
        <x:f>'数值推演'!J$122</x:f>
        <x:v>9</x:v>
      </x:c>
      <x:c r="M15" s="23" t="n">
        <x:f>'数值推演'!K$122</x:f>
        <x:v>11</x:v>
      </x:c>
    </x:row>
    <x:row r="16" ht="31.5" customHeight="1">
      <x:c r="A16" s="24" t="n">
        <x:v>11</x:v>
      </x:c>
      <x:c r="B16" s="14" t="str">
        <x:v>血肉</x:v>
      </x:c>
      <x:c r="C16" s="38" t="n">
        <x:f>IF(A16=1,'数值推演'!$B$128,'数值推演'!$B$120*POWER('数值推演'!$B$123,(A16-2)/'数值推演'!$B$122))</x:f>
        <x:v>2.0132339483574855</x:v>
      </x:c>
      <x:c r="D16" s="38" t="n">
        <x:f>IF(A16=1,'数值推演'!$B$129,'数值推演'!$B$121*POWER('数值推演'!$B$124,(A16-2)/'数值推演'!$B$122))</x:f>
        <x:v>1.4012724725672816</x:v>
      </x:c>
      <x:c r="E16" s="24" t="n">
        <x:f>COUNTIFS('怪物总表'!$C$6:$C$105,"普通",'怪物总表'!$E$6:$E$105,"&lt;="&amp;A16)</x:f>
        <x:v>54</x:v>
      </x:c>
      <x:c r="F16" s="24" t="n">
        <x:f>COUNTIFS('怪物总表'!$C$6:$C$105,"精英",'怪物总表'!$E$6:$E$105,"&lt;="&amp;A16)</x:f>
        <x:v>17</x:v>
      </x:c>
      <x:c r="G16" s="42" t="n">
        <x:f>C17*'数值推演'!$F$120/(C16*'数值推演'!$K$120)</x:f>
        <x:v>0.6285680541434231</x:v>
      </x:c>
      <x:c r="H16" s="24" t="n">
        <x:f>'数值推演'!F$122</x:f>
        <x:v>4</x:v>
      </x:c>
      <x:c r="I16" s="24" t="n">
        <x:f>'数值推演'!G$122</x:f>
        <x:v>5</x:v>
      </x:c>
      <x:c r="J16" s="24" t="n">
        <x:f>'数值推演'!H$122</x:f>
        <x:v>6</x:v>
      </x:c>
      <x:c r="K16" s="24" t="n">
        <x:f>'数值推演'!I$122</x:f>
        <x:v>7.5</x:v>
      </x:c>
      <x:c r="L16" s="24" t="n">
        <x:f>'数值推演'!J$122</x:f>
        <x:v>9</x:v>
      </x:c>
      <x:c r="M16" s="24" t="n">
        <x:f>'数值推演'!K$122</x:f>
        <x:v>11</x:v>
      </x:c>
    </x:row>
    <x:row r="17" ht="31.5" customHeight="1">
      <x:c r="A17" s="23" t="n">
        <x:v>12</x:v>
      </x:c>
      <x:c r="B17" s="16" t="str">
        <x:v>血肉</x:v>
      </x:c>
      <x:c r="C17" s="37" t="n">
        <x:f>IF(A17=1,'数值推演'!$B$128,'数值推演'!$B$120*POWER('数值推演'!$B$123,(A17-2)/'数值推演'!$B$122))</x:f>
        <x:v>2.088</x:v>
      </x:c>
      <x:c r="D17" s="37" t="n">
        <x:f>IF(A17=1,'数值推演'!$B$129,'数值推演'!$B$121*POWER('数值推演'!$B$124,(A17-2)/'数值推演'!$B$122))</x:f>
        <x:v>1.423008</x:v>
      </x:c>
      <x:c r="E17" s="23" t="n">
        <x:f>COUNTIFS('怪物总表'!$C$6:$C$105,"普通",'怪物总表'!$E$6:$E$105,"&lt;="&amp;A17)</x:f>
        <x:v>60</x:v>
      </x:c>
      <x:c r="F17" s="23" t="n">
        <x:f>COUNTIFS('怪物总表'!$C$6:$C$105,"精英",'怪物总表'!$E$6:$E$105,"&lt;="&amp;A17)</x:f>
        <x:v>18</x:v>
      </x:c>
      <x:c r="G17" s="41" t="n">
        <x:f>C18*'数值推演'!$F$120/(C17*'数值推演'!$K$120)</x:f>
        <x:v>0.6285680541434229</x:v>
      </x:c>
      <x:c r="H17" s="23" t="n">
        <x:f>'数值推演'!F$122</x:f>
        <x:v>4</x:v>
      </x:c>
      <x:c r="I17" s="23" t="n">
        <x:f>'数值推演'!G$122</x:f>
        <x:v>5</x:v>
      </x:c>
      <x:c r="J17" s="23" t="n">
        <x:f>'数值推演'!H$122</x:f>
        <x:v>6</x:v>
      </x:c>
      <x:c r="K17" s="23" t="n">
        <x:f>'数值推演'!I$122</x:f>
        <x:v>7.5</x:v>
      </x:c>
      <x:c r="L17" s="23" t="n">
        <x:f>'数值推演'!J$122</x:f>
        <x:v>9</x:v>
      </x:c>
      <x:c r="M17" s="23" t="n">
        <x:f>'数值推演'!K$122</x:f>
        <x:v>11</x:v>
      </x:c>
    </x:row>
    <x:row r="18" ht="31.5" customHeight="1">
      <x:c r="A18" s="24" t="n">
        <x:v>13</x:v>
      </x:c>
      <x:c r="B18" s="14" t="str">
        <x:v>结晶</x:v>
      </x:c>
      <x:c r="C18" s="38" t="n">
        <x:f>IF(A18=1,'数值推演'!$B$128,'数值推演'!$B$120*POWER('数值推演'!$B$123,(A18-2)/'数值推演'!$B$122))</x:f>
        <x:v>2.165542660134921</x:v>
      </x:c>
      <x:c r="D18" s="38" t="n">
        <x:f>IF(A18=1,'数值推演'!$B$129,'数值推演'!$B$121*POWER('数值推演'!$B$124,(A18-2)/'数值推演'!$B$122))</x:f>
        <x:v>1.4450806732498436</x:v>
      </x:c>
      <x:c r="E18" s="24" t="n">
        <x:f>COUNTIFS('怪物总表'!$C$6:$C$105,"普通",'怪物总表'!$E$6:$E$105,"&lt;="&amp;A18)</x:f>
        <x:v>65</x:v>
      </x:c>
      <x:c r="F18" s="24" t="n">
        <x:f>COUNTIFS('怪物总表'!$C$6:$C$105,"精英",'怪物总表'!$E$6:$E$105,"&lt;="&amp;A18)</x:f>
        <x:v>19</x:v>
      </x:c>
      <x:c r="G18" s="42" t="n">
        <x:f>C19*'数值推演'!$F$120/(C18*'数值推演'!$K$120)</x:f>
        <x:v>0.6285680541434232</x:v>
      </x:c>
      <x:c r="H18" s="24" t="n">
        <x:f>'数值推演'!F$122</x:f>
        <x:v>4</x:v>
      </x:c>
      <x:c r="I18" s="24" t="n">
        <x:f>'数值推演'!G$122</x:f>
        <x:v>5</x:v>
      </x:c>
      <x:c r="J18" s="24" t="n">
        <x:f>'数值推演'!H$122</x:f>
        <x:v>6</x:v>
      </x:c>
      <x:c r="K18" s="24" t="n">
        <x:f>'数值推演'!I$122</x:f>
        <x:v>7.5</x:v>
      </x:c>
      <x:c r="L18" s="24" t="n">
        <x:f>'数值推演'!J$122</x:f>
        <x:v>9</x:v>
      </x:c>
      <x:c r="M18" s="24" t="n">
        <x:f>'数值推演'!K$122</x:f>
        <x:v>11</x:v>
      </x:c>
    </x:row>
    <x:row r="19" ht="31.5" customHeight="1">
      <x:c r="A19" s="23" t="n">
        <x:v>14</x:v>
      </x:c>
      <x:c r="B19" s="16" t="str">
        <x:v>结晶</x:v>
      </x:c>
      <x:c r="C19" s="37" t="n">
        <x:f>IF(A19=1,'数值推演'!$B$128,'数值推演'!$B$120*POWER('数值推演'!$B$123,(A19-2)/'数值推演'!$B$122))</x:f>
        <x:v>2.245965044475206</x:v>
      </x:c>
      <x:c r="D19" s="37" t="n">
        <x:f>IF(A19=1,'数值推演'!$B$129,'数值推演'!$B$121*POWER('数值推演'!$B$124,(A19-2)/'数值推演'!$B$122))</x:f>
        <x:v>1.467495721879442</x:v>
      </x:c>
      <x:c r="E19" s="23" t="n">
        <x:f>COUNTIFS('怪物总表'!$C$6:$C$105,"普通",'怪物总表'!$E$6:$E$105,"&lt;="&amp;A19)</x:f>
        <x:v>69</x:v>
      </x:c>
      <x:c r="F19" s="23" t="n">
        <x:f>COUNTIFS('怪物总表'!$C$6:$C$105,"精英",'怪物总表'!$E$6:$E$105,"&lt;="&amp;A19)</x:f>
        <x:v>20</x:v>
      </x:c>
      <x:c r="G19" s="41" t="n">
        <x:f>C20*'数值推演'!$F$120/(C19*'数值推演'!$K$120)</x:f>
        <x:v>0.6285680541434231</x:v>
      </x:c>
      <x:c r="H19" s="23" t="n">
        <x:f>'数值推演'!F$122</x:f>
        <x:v>4</x:v>
      </x:c>
      <x:c r="I19" s="23" t="n">
        <x:f>'数值推演'!G$122</x:f>
        <x:v>5</x:v>
      </x:c>
      <x:c r="J19" s="23" t="n">
        <x:f>'数值推演'!H$122</x:f>
        <x:v>6</x:v>
      </x:c>
      <x:c r="K19" s="23" t="n">
        <x:f>'数值推演'!I$122</x:f>
        <x:v>7.5</x:v>
      </x:c>
      <x:c r="L19" s="23" t="n">
        <x:f>'数值推演'!J$122</x:f>
        <x:v>9</x:v>
      </x:c>
      <x:c r="M19" s="23" t="n">
        <x:f>'数值推演'!K$122</x:f>
        <x:v>11</x:v>
      </x:c>
    </x:row>
    <x:row r="20" ht="31.5" customHeight="1">
      <x:c r="A20" s="24" t="n">
        <x:v>15</x:v>
      </x:c>
      <x:c r="B20" s="14" t="str">
        <x:v>结晶</x:v>
      </x:c>
      <x:c r="C20" s="38" t="n">
        <x:f>IF(A20=1,'数值推演'!$B$128,'数值推演'!$B$120*POWER('数值推演'!$B$123,(A20-2)/'数值推演'!$B$122))</x:f>
        <x:v>2.3293740981718796</x:v>
      </x:c>
      <x:c r="D20" s="38" t="n">
        <x:f>IF(A20=1,'数值推演'!$B$129,'数值推演'!$B$121*POWER('数值推演'!$B$124,(A20-2)/'数值推演'!$B$122))</x:f>
        <x:v>1.4902584565686272</x:v>
      </x:c>
      <x:c r="E20" s="24" t="n">
        <x:f>COUNTIFS('怪物总表'!$C$6:$C$105,"普通",'怪物总表'!$E$6:$E$105,"&lt;="&amp;A20)</x:f>
        <x:v>72</x:v>
      </x:c>
      <x:c r="F20" s="24" t="n">
        <x:f>COUNTIFS('怪物总表'!$C$6:$C$105,"精英",'怪物总表'!$E$6:$E$105,"&lt;="&amp;A20)</x:f>
        <x:v>20</x:v>
      </x:c>
      <x:c r="G20" s="42" t="n">
        <x:f>C21*'数值推演'!$F$120/(C20*'数值推演'!$K$120)</x:f>
        <x:v>0.6285680541434231</x:v>
      </x:c>
      <x:c r="H20" s="24" t="n">
        <x:f>'数值推演'!F$122</x:f>
        <x:v>4</x:v>
      </x:c>
      <x:c r="I20" s="24" t="n">
        <x:f>'数值推演'!G$122</x:f>
        <x:v>5</x:v>
      </x:c>
      <x:c r="J20" s="24" t="n">
        <x:f>'数值推演'!H$122</x:f>
        <x:v>6</x:v>
      </x:c>
      <x:c r="K20" s="24" t="n">
        <x:f>'数值推演'!I$122</x:f>
        <x:v>7.5</x:v>
      </x:c>
      <x:c r="L20" s="24" t="n">
        <x:f>'数值推演'!J$122</x:f>
        <x:v>9</x:v>
      </x:c>
      <x:c r="M20" s="24" t="n">
        <x:f>'数值推演'!K$122</x:f>
        <x:v>11</x:v>
      </x:c>
    </x:row>
    <x:row r="21" ht="31.5" customHeight="1">
      <x:c r="A21" s="23" t="n">
        <x:v>16</x:v>
      </x:c>
      <x:c r="B21" s="16" t="str">
        <x:v>幽魂</x:v>
      </x:c>
      <x:c r="C21" s="37" t="n">
        <x:f>IF(A21=1,'数值推演'!$B$128,'数值推演'!$B$120*POWER('数值推演'!$B$123,(A21-2)/'数值推演'!$B$122))</x:f>
        <x:v>2.4158807380289824</x:v>
      </x:c>
      <x:c r="D21" s="37" t="n">
        <x:f>IF(A21=1,'数值推演'!$B$129,'数值推演'!$B$121*POWER('数值推演'!$B$124,(A21-2)/'数值推演'!$B$122))</x:f>
        <x:v>1.5133742703726643</x:v>
      </x:c>
      <x:c r="E21" s="23" t="n">
        <x:f>COUNTIFS('怪物总表'!$C$6:$C$105,"普通",'怪物总表'!$E$6:$E$105,"&lt;="&amp;A21)</x:f>
        <x:v>75</x:v>
      </x:c>
      <x:c r="F21" s="23" t="n">
        <x:f>COUNTIFS('怪物总表'!$C$6:$C$105,"精英",'怪物总表'!$E$6:$E$105,"&lt;="&amp;A21)</x:f>
        <x:v>20</x:v>
      </x:c>
      <x:c r="G21" s="41" t="n">
        <x:f>C22*'数值推演'!$F$120/(C21*'数值推演'!$K$120)</x:f>
        <x:v>0.628568054143423</x:v>
      </x:c>
      <x:c r="H21" s="23" t="n">
        <x:f>'数值推演'!F$122</x:f>
        <x:v>4</x:v>
      </x:c>
      <x:c r="I21" s="23" t="n">
        <x:f>'数值推演'!G$122</x:f>
        <x:v>5</x:v>
      </x:c>
      <x:c r="J21" s="23" t="n">
        <x:f>'数值推演'!H$122</x:f>
        <x:v>6</x:v>
      </x:c>
      <x:c r="K21" s="23" t="n">
        <x:f>'数值推演'!I$122</x:f>
        <x:v>7.5</x:v>
      </x:c>
      <x:c r="L21" s="23" t="n">
        <x:f>'数值推演'!J$122</x:f>
        <x:v>9</x:v>
      </x:c>
      <x:c r="M21" s="23" t="n">
        <x:f>'数值推演'!K$122</x:f>
        <x:v>11</x:v>
      </x:c>
    </x:row>
    <x:row r="22" ht="31.5" customHeight="1">
      <x:c r="A22" s="24" t="n">
        <x:v>17</x:v>
      </x:c>
      <x:c r="B22" s="14" t="str">
        <x:v>幽魂</x:v>
      </x:c>
      <x:c r="C22" s="38" t="n">
        <x:f>IF(A22=1,'数值推演'!$B$128,'数值推演'!$B$120*POWER('数值推演'!$B$123,(A22-2)/'数值推演'!$B$122))</x:f>
        <x:v>2.5055999999999994</x:v>
      </x:c>
      <x:c r="D22" s="38" t="n">
        <x:f>IF(A22=1,'数值推演'!$B$129,'数值推演'!$B$121*POWER('数值推演'!$B$124,(A22-2)/'数值推演'!$B$122))</x:f>
        <x:v>1.53684864</x:v>
      </x:c>
      <x:c r="E22" s="24" t="n">
        <x:f>COUNTIFS('怪物总表'!$C$6:$C$105,"普通",'怪物总表'!$E$6:$E$105,"&lt;="&amp;A22)</x:f>
        <x:v>77</x:v>
      </x:c>
      <x:c r="F22" s="24" t="n">
        <x:f>COUNTIFS('怪物总表'!$C$6:$C$105,"精英",'怪物总表'!$E$6:$E$105,"&lt;="&amp;A22)</x:f>
        <x:v>20</x:v>
      </x:c>
      <x:c r="G22" s="42" t="n">
        <x:f>C23*'数值推演'!$F$120/(C22*'数值推演'!$K$120)</x:f>
        <x:v>0.6285680541434231</x:v>
      </x:c>
      <x:c r="H22" s="24" t="n">
        <x:f>'数值推演'!F$122</x:f>
        <x:v>4</x:v>
      </x:c>
      <x:c r="I22" s="24" t="n">
        <x:f>'数值推演'!G$122</x:f>
        <x:v>5</x:v>
      </x:c>
      <x:c r="J22" s="24" t="n">
        <x:f>'数值推演'!H$122</x:f>
        <x:v>6</x:v>
      </x:c>
      <x:c r="K22" s="24" t="n">
        <x:f>'数值推演'!I$122</x:f>
        <x:v>7.5</x:v>
      </x:c>
      <x:c r="L22" s="24" t="n">
        <x:f>'数值推演'!J$122</x:f>
        <x:v>9</x:v>
      </x:c>
      <x:c r="M22" s="24" t="n">
        <x:f>'数值推演'!K$122</x:f>
        <x:v>11</x:v>
      </x:c>
    </x:row>
    <x:row r="23" ht="31.5" customHeight="1">
      <x:c r="A23" s="23" t="n">
        <x:v>18</x:v>
      </x:c>
      <x:c r="B23" s="16" t="str">
        <x:v>幽魂</x:v>
      </x:c>
      <x:c r="C23" s="37" t="n">
        <x:f>IF(A23=1,'数值推演'!$B$128,'数值推演'!$B$120*POWER('数值推演'!$B$123,(A23-2)/'数值推演'!$B$122))</x:f>
        <x:v>2.598651192161905</x:v>
      </x:c>
      <x:c r="D23" s="37" t="n">
        <x:f>IF(A23=1,'数值推演'!$B$129,'数值推演'!$B$121*POWER('数值推演'!$B$124,(A23-2)/'数值推演'!$B$122))</x:f>
        <x:v>1.560687127109831</x:v>
      </x:c>
      <x:c r="E23" s="23" t="n">
        <x:f>COUNTIFS('怪物总表'!$C$6:$C$105,"普通",'怪物总表'!$E$6:$E$105,"&lt;="&amp;A23)</x:f>
        <x:v>78</x:v>
      </x:c>
      <x:c r="F23" s="23" t="n">
        <x:f>COUNTIFS('怪物总表'!$C$6:$C$105,"精英",'怪物总表'!$E$6:$E$105,"&lt;="&amp;A23)</x:f>
        <x:v>20</x:v>
      </x:c>
      <x:c r="G23" s="41" t="n">
        <x:f>C24*'数值推演'!$F$120/(C23*'数值推演'!$K$120)</x:f>
        <x:v>0.6285680541434232</x:v>
      </x:c>
      <x:c r="H23" s="23" t="n">
        <x:f>'数值推演'!F$122</x:f>
        <x:v>4</x:v>
      </x:c>
      <x:c r="I23" s="23" t="n">
        <x:f>'数值推演'!G$122</x:f>
        <x:v>5</x:v>
      </x:c>
      <x:c r="J23" s="23" t="n">
        <x:f>'数值推演'!H$122</x:f>
        <x:v>6</x:v>
      </x:c>
      <x:c r="K23" s="23" t="n">
        <x:f>'数值推演'!I$122</x:f>
        <x:v>7.5</x:v>
      </x:c>
      <x:c r="L23" s="23" t="n">
        <x:f>'数值推演'!J$122</x:f>
        <x:v>9</x:v>
      </x:c>
      <x:c r="M23" s="23" t="n">
        <x:f>'数值推演'!K$122</x:f>
        <x:v>11</x:v>
      </x:c>
    </x:row>
    <x:row r="24" ht="31.5" customHeight="1">
      <x:c r="A24" s="24" t="n">
        <x:v>19</x:v>
      </x:c>
      <x:c r="B24" s="14" t="str">
        <x:v>血肉</x:v>
      </x:c>
      <x:c r="C24" s="38" t="n">
        <x:f>IF(A24=1,'数值推演'!$B$128,'数值推演'!$B$120*POWER('数值推演'!$B$123,(A24-2)/'数值推演'!$B$122))</x:f>
        <x:v>2.695158053370247</x:v>
      </x:c>
      <x:c r="D24" s="38" t="n">
        <x:f>IF(A24=1,'数值推演'!$B$129,'数值推演'!$B$121*POWER('数值推演'!$B$124,(A24-2)/'数值推演'!$B$122))</x:f>
        <x:v>1.5848953796297975</x:v>
      </x:c>
      <x:c r="E24" s="24" t="n">
        <x:f>COUNTIFS('怪物总表'!$C$6:$C$105,"普通",'怪物总表'!$E$6:$E$105,"&lt;="&amp;A24)</x:f>
        <x:v>79</x:v>
      </x:c>
      <x:c r="F24" s="24" t="n">
        <x:f>COUNTIFS('怪物总表'!$C$6:$C$105,"精英",'怪物总表'!$E$6:$E$105,"&lt;="&amp;A24)</x:f>
        <x:v>20</x:v>
      </x:c>
      <x:c r="G24" s="42" t="n">
        <x:f>C25*'数值推演'!$F$120/(C24*'数值推演'!$K$120)</x:f>
        <x:v>0.6285680541434232</x:v>
      </x:c>
      <x:c r="H24" s="24" t="n">
        <x:f>'数值推演'!F$122</x:f>
        <x:v>4</x:v>
      </x:c>
      <x:c r="I24" s="24" t="n">
        <x:f>'数值推演'!G$122</x:f>
        <x:v>5</x:v>
      </x:c>
      <x:c r="J24" s="24" t="n">
        <x:f>'数值推演'!H$122</x:f>
        <x:v>6</x:v>
      </x:c>
      <x:c r="K24" s="24" t="n">
        <x:f>'数值推演'!I$122</x:f>
        <x:v>7.5</x:v>
      </x:c>
      <x:c r="L24" s="24" t="n">
        <x:f>'数值推演'!J$122</x:f>
        <x:v>9</x:v>
      </x:c>
      <x:c r="M24" s="24" t="n">
        <x:f>'数值推演'!K$122</x:f>
        <x:v>11</x:v>
      </x:c>
    </x:row>
    <x:row r="25" ht="31.5" customHeight="1">
      <x:c r="A25" s="23" t="n">
        <x:v>20</x:v>
      </x:c>
      <x:c r="B25" s="16" t="str">
        <x:v>血肉</x:v>
      </x:c>
      <x:c r="C25" s="37" t="n">
        <x:f>IF(A25=1,'数值推演'!$B$128,'数值推演'!$B$120*POWER('数值推演'!$B$123,(A25-2)/'数值推演'!$B$122))</x:f>
        <x:v>2.7952489178062554</x:v>
      </x:c>
      <x:c r="D25" s="37" t="n">
        <x:f>IF(A25=1,'数值推演'!$B$129,'数值推演'!$B$121*POWER('数值推演'!$B$124,(A25-2)/'数值推演'!$B$122))</x:f>
        <x:v>1.6094791330941176</x:v>
      </x:c>
      <x:c r="E25" s="23" t="n">
        <x:f>COUNTIFS('怪物总表'!$C$6:$C$105,"普通",'怪物总表'!$E$6:$E$105,"&lt;="&amp;A25)</x:f>
        <x:v>80</x:v>
      </x:c>
      <x:c r="F25" s="23" t="n">
        <x:f>COUNTIFS('怪物总表'!$C$6:$C$105,"精英",'怪物总表'!$E$6:$E$105,"&lt;="&amp;A25)</x:f>
        <x:v>20</x:v>
      </x:c>
      <x:c r="G25" s="41" t="n">
        <x:f>C26*'数值推演'!$F$120/(C25*'数值推演'!$K$120)</x:f>
        <x:v>0.628568054143423</x:v>
      </x:c>
      <x:c r="H25" s="23" t="n">
        <x:f>'数值推演'!F$122</x:f>
        <x:v>4</x:v>
      </x:c>
      <x:c r="I25" s="23" t="n">
        <x:f>'数值推演'!G$122</x:f>
        <x:v>5</x:v>
      </x:c>
      <x:c r="J25" s="23" t="n">
        <x:f>'数值推演'!H$122</x:f>
        <x:v>6</x:v>
      </x:c>
      <x:c r="K25" s="23" t="n">
        <x:f>'数值推演'!I$122</x:f>
        <x:v>7.5</x:v>
      </x:c>
      <x:c r="L25" s="23" t="n">
        <x:f>'数值推演'!J$122</x:f>
        <x:v>9</x:v>
      </x:c>
      <x:c r="M25" s="23" t="n">
        <x:f>'数值推演'!K$122</x:f>
        <x:v>11</x:v>
      </x:c>
    </x:row>
    <x:row r="26" ht="31.5" customHeight="1">
      <x:c r="A26" s="24" t="n">
        <x:v>21</x:v>
      </x:c>
      <x:c r="B26" s="14" t="str">
        <x:v>血肉</x:v>
      </x:c>
      <x:c r="C26" s="38" t="n">
        <x:f>IF(A26=1,'数值推演'!$B$128,'数值推演'!$B$120*POWER('数值推演'!$B$123,(A26-2)/'数值推演'!$B$122))</x:f>
        <x:v>2.8990568856347787</x:v>
      </x:c>
      <x:c r="D26" s="38" t="n">
        <x:f>IF(A26=1,'数值推演'!$B$129,'数值推演'!$B$121*POWER('数值推演'!$B$124,(A26-2)/'数值推演'!$B$122))</x:f>
        <x:v>1.6344442120024776</x:v>
      </x:c>
      <x:c r="E26" s="24" t="n">
        <x:f>COUNTIFS('怪物总表'!$C$6:$C$105,"普通",'怪物总表'!$E$6:$E$105,"&lt;="&amp;A26)</x:f>
        <x:v>80</x:v>
      </x:c>
      <x:c r="F26" s="24" t="n">
        <x:f>COUNTIFS('怪物总表'!$C$6:$C$105,"精英",'怪物总表'!$E$6:$E$105,"&lt;="&amp;A26)</x:f>
        <x:v>20</x:v>
      </x:c>
      <x:c r="G26" s="42" t="n">
        <x:f>C27*'数值推演'!$F$120/(C26*'数值推演'!$K$120)</x:f>
        <x:v>0.6285680541434232</x:v>
      </x:c>
      <x:c r="H26" s="24" t="n">
        <x:f>'数值推演'!F$122</x:f>
        <x:v>4</x:v>
      </x:c>
      <x:c r="I26" s="24" t="n">
        <x:f>'数值推演'!G$122</x:f>
        <x:v>5</x:v>
      </x:c>
      <x:c r="J26" s="24" t="n">
        <x:f>'数值推演'!H$122</x:f>
        <x:v>6</x:v>
      </x:c>
      <x:c r="K26" s="24" t="n">
        <x:f>'数值推演'!I$122</x:f>
        <x:v>7.5</x:v>
      </x:c>
      <x:c r="L26" s="24" t="n">
        <x:f>'数值推演'!J$122</x:f>
        <x:v>9</x:v>
      </x:c>
      <x:c r="M26" s="24" t="n">
        <x:f>'数值推演'!K$122</x:f>
        <x:v>11</x:v>
      </x:c>
    </x:row>
    <x:row r="27" ht="31.5" customHeight="1">
      <x:c r="A27" s="23" t="n">
        <x:v>22</x:v>
      </x:c>
      <x:c r="B27" s="16" t="str">
        <x:v>结晶</x:v>
      </x:c>
      <x:c r="C27" s="37" t="n">
        <x:f>IF(A27=1,'数值推演'!$B$128,'数值推演'!$B$120*POWER('数值推演'!$B$123,(A27-2)/'数值推演'!$B$122))</x:f>
        <x:v>3.0067199999999996</x:v>
      </x:c>
      <x:c r="D27" s="37" t="n">
        <x:f>IF(A27=1,'数值推演'!$B$129,'数值推演'!$B$121*POWER('数值推演'!$B$124,(A27-2)/'数值推演'!$B$122))</x:f>
        <x:v>1.6597965312000003</x:v>
      </x:c>
      <x:c r="E27" s="23" t="n">
        <x:f>COUNTIFS('怪物总表'!$C$6:$C$105,"普通",'怪物总表'!$E$6:$E$105,"&lt;="&amp;A27)</x:f>
        <x:v>80</x:v>
      </x:c>
      <x:c r="F27" s="23" t="n">
        <x:f>COUNTIFS('怪物总表'!$C$6:$C$105,"精英",'怪物总表'!$E$6:$E$105,"&lt;="&amp;A27)</x:f>
        <x:v>20</x:v>
      </x:c>
      <x:c r="G27" s="41" t="n">
        <x:f>C28*'数值推演'!$F$120/(C27*'数值推演'!$K$120)</x:f>
        <x:v>0.6285680541434231</x:v>
      </x:c>
      <x:c r="H27" s="23" t="n">
        <x:f>'数值推演'!F$122</x:f>
        <x:v>4</x:v>
      </x:c>
      <x:c r="I27" s="23" t="n">
        <x:f>'数值推演'!G$122</x:f>
        <x:v>5</x:v>
      </x:c>
      <x:c r="J27" s="23" t="n">
        <x:f>'数值推演'!H$122</x:f>
        <x:v>6</x:v>
      </x:c>
      <x:c r="K27" s="23" t="n">
        <x:f>'数值推演'!I$122</x:f>
        <x:v>7.5</x:v>
      </x:c>
      <x:c r="L27" s="23" t="n">
        <x:f>'数值推演'!J$122</x:f>
        <x:v>9</x:v>
      </x:c>
      <x:c r="M27" s="23" t="n">
        <x:f>'数值推演'!K$122</x:f>
        <x:v>11</x:v>
      </x:c>
    </x:row>
    <x:row r="28" ht="31.5" customHeight="1">
      <x:c r="A28" s="24" t="n">
        <x:v>23</x:v>
      </x:c>
      <x:c r="B28" s="14" t="str">
        <x:v>结晶</x:v>
      </x:c>
      <x:c r="C28" s="38" t="n">
        <x:f>IF(A28=1,'数值推演'!$B$128,'数值推演'!$B$120*POWER('数值推演'!$B$123,(A28-2)/'数值推演'!$B$122))</x:f>
        <x:v>3.1183814305942863</x:v>
      </x:c>
      <x:c r="D28" s="38" t="n">
        <x:f>IF(A28=1,'数值推演'!$B$129,'数值推演'!$B$121*POWER('数值推演'!$B$124,(A28-2)/'数值推演'!$B$122))</x:f>
        <x:v>1.6855420972786177</x:v>
      </x:c>
      <x:c r="E28" s="24" t="n">
        <x:f>COUNTIFS('怪物总表'!$C$6:$C$105,"普通",'怪物总表'!$E$6:$E$105,"&lt;="&amp;A28)</x:f>
        <x:v>80</x:v>
      </x:c>
      <x:c r="F28" s="24" t="n">
        <x:f>COUNTIFS('怪物总表'!$C$6:$C$105,"精英",'怪物总表'!$E$6:$E$105,"&lt;="&amp;A28)</x:f>
        <x:v>20</x:v>
      </x:c>
      <x:c r="G28" s="42" t="n">
        <x:f>C29*'数值推演'!$F$120/(C28*'数值推演'!$K$120)</x:f>
        <x:v>0.628568054143423</x:v>
      </x:c>
      <x:c r="H28" s="24" t="n">
        <x:f>'数值推演'!F$122</x:f>
        <x:v>4</x:v>
      </x:c>
      <x:c r="I28" s="24" t="n">
        <x:f>'数值推演'!G$122</x:f>
        <x:v>5</x:v>
      </x:c>
      <x:c r="J28" s="24" t="n">
        <x:f>'数值推演'!H$122</x:f>
        <x:v>6</x:v>
      </x:c>
      <x:c r="K28" s="24" t="n">
        <x:f>'数值推演'!I$122</x:f>
        <x:v>7.5</x:v>
      </x:c>
      <x:c r="L28" s="24" t="n">
        <x:f>'数值推演'!J$122</x:f>
        <x:v>9</x:v>
      </x:c>
      <x:c r="M28" s="24" t="n">
        <x:f>'数值推演'!K$122</x:f>
        <x:v>11</x:v>
      </x:c>
    </x:row>
    <x:row r="29" ht="31.5" customHeight="1">
      <x:c r="A29" s="23" t="n">
        <x:v>24</x:v>
      </x:c>
      <x:c r="B29" s="16" t="str">
        <x:v>结晶</x:v>
      </x:c>
      <x:c r="C29" s="37" t="n">
        <x:f>IF(A29=1,'数值推演'!$B$128,'数值推演'!$B$120*POWER('数值推演'!$B$123,(A29-2)/'数值推演'!$B$122))</x:f>
        <x:v>3.2341896640442966</x:v>
      </x:c>
      <x:c r="D29" s="37" t="n">
        <x:f>IF(A29=1,'数值推演'!$B$129,'数值推演'!$B$121*POWER('数值推演'!$B$124,(A29-2)/'数值推演'!$B$122))</x:f>
        <x:v>1.7116870100001815</x:v>
      </x:c>
      <x:c r="E29" s="23" t="n">
        <x:f>COUNTIFS('怪物总表'!$C$6:$C$105,"普通",'怪物总表'!$E$6:$E$105,"&lt;="&amp;A29)</x:f>
        <x:v>80</x:v>
      </x:c>
      <x:c r="F29" s="23" t="n">
        <x:f>COUNTIFS('怪物总表'!$C$6:$C$105,"精英",'怪物总表'!$E$6:$E$105,"&lt;="&amp;A29)</x:f>
        <x:v>20</x:v>
      </x:c>
      <x:c r="G29" s="41" t="n">
        <x:f>C30*'数值推演'!$F$120/(C29*'数值推演'!$K$120)</x:f>
        <x:v>0.628568054143423</x:v>
      </x:c>
      <x:c r="H29" s="23" t="n">
        <x:f>'数值推演'!F$122</x:f>
        <x:v>4</x:v>
      </x:c>
      <x:c r="I29" s="23" t="n">
        <x:f>'数值推演'!G$122</x:f>
        <x:v>5</x:v>
      </x:c>
      <x:c r="J29" s="23" t="n">
        <x:f>'数值推演'!H$122</x:f>
        <x:v>6</x:v>
      </x:c>
      <x:c r="K29" s="23" t="n">
        <x:f>'数值推演'!I$122</x:f>
        <x:v>7.5</x:v>
      </x:c>
      <x:c r="L29" s="23" t="n">
        <x:f>'数值推演'!J$122</x:f>
        <x:v>9</x:v>
      </x:c>
      <x:c r="M29" s="23" t="n">
        <x:f>'数值推演'!K$122</x:f>
        <x:v>11</x:v>
      </x:c>
    </x:row>
    <x:row r="30" ht="31.5" customHeight="1">
      <x:c r="A30" s="24" t="n">
        <x:v>25</x:v>
      </x:c>
      <x:c r="B30" s="14" t="str">
        <x:v>幽魂</x:v>
      </x:c>
      <x:c r="C30" s="38" t="n">
        <x:f>IF(A30=1,'数值推演'!$B$128,'数值推演'!$B$120*POWER('数值推演'!$B$123,(A30-2)/'数值推演'!$B$122))</x:f>
        <x:v>3.3542987013675063</x:v>
      </x:c>
      <x:c r="D30" s="38" t="n">
        <x:f>IF(A30=1,'数值推演'!$B$129,'数值推演'!$B$121*POWER('数值推演'!$B$124,(A30-2)/'数值推演'!$B$122))</x:f>
        <x:v>1.7382374637416471</x:v>
      </x:c>
      <x:c r="E30" s="24" t="n">
        <x:f>COUNTIFS('怪物总表'!$C$6:$C$105,"普通",'怪物总表'!$E$6:$E$105,"&lt;="&amp;A30)</x:f>
        <x:v>80</x:v>
      </x:c>
      <x:c r="F30" s="24" t="n">
        <x:f>COUNTIFS('怪物总表'!$C$6:$C$105,"精英",'怪物总表'!$E$6:$E$105,"&lt;="&amp;A30)</x:f>
        <x:v>20</x:v>
      </x:c>
      <x:c r="G30" s="42" t="n">
        <x:f>C31*'数值推演'!$F$120/(C30*'数值推演'!$K$120)</x:f>
        <x:v>0.6285680541434232</x:v>
      </x:c>
      <x:c r="H30" s="24" t="n">
        <x:f>'数值推演'!F$122</x:f>
        <x:v>4</x:v>
      </x:c>
      <x:c r="I30" s="24" t="n">
        <x:f>'数值推演'!G$122</x:f>
        <x:v>5</x:v>
      </x:c>
      <x:c r="J30" s="24" t="n">
        <x:f>'数值推演'!H$122</x:f>
        <x:v>6</x:v>
      </x:c>
      <x:c r="K30" s="24" t="n">
        <x:f>'数值推演'!I$122</x:f>
        <x:v>7.5</x:v>
      </x:c>
      <x:c r="L30" s="24" t="n">
        <x:f>'数值推演'!J$122</x:f>
        <x:v>9</x:v>
      </x:c>
      <x:c r="M30" s="24" t="n">
        <x:f>'数值推演'!K$122</x:f>
        <x:v>11</x:v>
      </x:c>
    </x:row>
    <x:row r="31" ht="31.5" customHeight="1">
      <x:c r="A31" s="23" t="n">
        <x:v>26</x:v>
      </x:c>
      <x:c r="B31" s="16" t="str">
        <x:v>幽魂</x:v>
      </x:c>
      <x:c r="C31" s="37" t="n">
        <x:f>IF(A31=1,'数值推演'!$B$128,'数值推演'!$B$120*POWER('数值推演'!$B$123,(A31-2)/'数值推演'!$B$122))</x:f>
        <x:v>3.4788682627617344</x:v>
      </x:c>
      <x:c r="D31" s="37" t="n">
        <x:f>IF(A31=1,'数值推演'!$B$129,'数值推演'!$B$121*POWER('数值推演'!$B$124,(A31-2)/'数值推演'!$B$122))</x:f>
        <x:v>1.7651997489626758</x:v>
      </x:c>
      <x:c r="E31" s="23" t="n">
        <x:f>COUNTIFS('怪物总表'!$C$6:$C$105,"普通",'怪物总表'!$E$6:$E$105,"&lt;="&amp;A31)</x:f>
        <x:v>80</x:v>
      </x:c>
      <x:c r="F31" s="23" t="n">
        <x:f>COUNTIFS('怪物总表'!$C$6:$C$105,"精英",'怪物总表'!$E$6:$E$105,"&lt;="&amp;A31)</x:f>
        <x:v>20</x:v>
      </x:c>
      <x:c r="G31" s="41" t="n">
        <x:f>C32*'数值推演'!$F$120/(C31*'数值推演'!$K$120)</x:f>
        <x:v>0.6285680541434231</x:v>
      </x:c>
      <x:c r="H31" s="23" t="n">
        <x:f>'数值推演'!F$122</x:f>
        <x:v>4</x:v>
      </x:c>
      <x:c r="I31" s="23" t="n">
        <x:f>'数值推演'!G$122</x:f>
        <x:v>5</x:v>
      </x:c>
      <x:c r="J31" s="23" t="n">
        <x:f>'数值推演'!H$122</x:f>
        <x:v>6</x:v>
      </x:c>
      <x:c r="K31" s="23" t="n">
        <x:f>'数值推演'!I$122</x:f>
        <x:v>7.5</x:v>
      </x:c>
      <x:c r="L31" s="23" t="n">
        <x:f>'数值推演'!J$122</x:f>
        <x:v>9</x:v>
      </x:c>
      <x:c r="M31" s="23" t="n">
        <x:f>'数值推演'!K$122</x:f>
        <x:v>11</x:v>
      </x:c>
    </x:row>
    <x:row r="32" ht="31.5" customHeight="1">
      <x:c r="A32" s="24" t="n">
        <x:v>27</x:v>
      </x:c>
      <x:c r="B32" s="14" t="str">
        <x:v>幽魂</x:v>
      </x:c>
      <x:c r="C32" s="38" t="n">
        <x:f>IF(A32=1,'数值推演'!$B$128,'数值推演'!$B$120*POWER('数值推演'!$B$123,(A32-2)/'数值推演'!$B$122))</x:f>
        <x:v>3.6080639999999993</x:v>
      </x:c>
      <x:c r="D32" s="38" t="n">
        <x:f>IF(A32=1,'数值推演'!$B$129,'数值推演'!$B$121*POWER('数值推演'!$B$124,(A32-2)/'数值推演'!$B$122))</x:f>
        <x:v>1.7925802536960007</x:v>
      </x:c>
      <x:c r="E32" s="24" t="n">
        <x:f>COUNTIFS('怪物总表'!$C$6:$C$105,"普通",'怪物总表'!$E$6:$E$105,"&lt;="&amp;A32)</x:f>
        <x:v>80</x:v>
      </x:c>
      <x:c r="F32" s="24" t="n">
        <x:f>COUNTIFS('怪物总表'!$C$6:$C$105,"精英",'怪物总表'!$E$6:$E$105,"&lt;="&amp;A32)</x:f>
        <x:v>20</x:v>
      </x:c>
      <x:c r="G32" s="42" t="n">
        <x:f>C33*'数值推演'!$F$120/(C32*'数值推演'!$K$120)</x:f>
        <x:v>0.628568054143423</x:v>
      </x:c>
      <x:c r="H32" s="24" t="n">
        <x:f>'数值推演'!F$122</x:f>
        <x:v>4</x:v>
      </x:c>
      <x:c r="I32" s="24" t="n">
        <x:f>'数值推演'!G$122</x:f>
        <x:v>5</x:v>
      </x:c>
      <x:c r="J32" s="24" t="n">
        <x:f>'数值推演'!H$122</x:f>
        <x:v>6</x:v>
      </x:c>
      <x:c r="K32" s="24" t="n">
        <x:f>'数值推演'!I$122</x:f>
        <x:v>7.5</x:v>
      </x:c>
      <x:c r="L32" s="24" t="n">
        <x:f>'数值推演'!J$122</x:f>
        <x:v>9</x:v>
      </x:c>
      <x:c r="M32" s="24" t="n">
        <x:f>'数值推演'!K$122</x:f>
        <x:v>11</x:v>
      </x:c>
    </x:row>
    <x:row r="33" ht="31.5" customHeight="1">
      <x:c r="A33" s="23" t="n">
        <x:v>28</x:v>
      </x:c>
      <x:c r="B33" s="16" t="str">
        <x:v>血肉</x:v>
      </x:c>
      <x:c r="C33" s="37" t="n">
        <x:f>IF(A33=1,'数值推演'!$B$128,'数值推演'!$B$120*POWER('数值推演'!$B$123,(A33-2)/'数值推演'!$B$122))</x:f>
        <x:v>3.742057716713143</x:v>
      </x:c>
      <x:c r="D33" s="37" t="n">
        <x:f>IF(A33=1,'数值推演'!$B$129,'数值推演'!$B$121*POWER('数值推演'!$B$124,(A33-2)/'数值推演'!$B$122))</x:f>
        <x:v>1.8203854650609073</x:v>
      </x:c>
      <x:c r="E33" s="23" t="n">
        <x:f>COUNTIFS('怪物总表'!$C$6:$C$105,"普通",'怪物总表'!$E$6:$E$105,"&lt;="&amp;A33)</x:f>
        <x:v>80</x:v>
      </x:c>
      <x:c r="F33" s="23" t="n">
        <x:f>COUNTIFS('怪物总表'!$C$6:$C$105,"精英",'怪物总表'!$E$6:$E$105,"&lt;="&amp;A33)</x:f>
        <x:v>20</x:v>
      </x:c>
      <x:c r="G33" s="41" t="n">
        <x:f>C34*'数值推演'!$F$120/(C33*'数值推演'!$K$120)</x:f>
        <x:v>0.6285680541434231</x:v>
      </x:c>
      <x:c r="H33" s="23" t="n">
        <x:f>'数值推演'!F$122</x:f>
        <x:v>4</x:v>
      </x:c>
      <x:c r="I33" s="23" t="n">
        <x:f>'数值推演'!G$122</x:f>
        <x:v>5</x:v>
      </x:c>
      <x:c r="J33" s="23" t="n">
        <x:f>'数值推演'!H$122</x:f>
        <x:v>6</x:v>
      </x:c>
      <x:c r="K33" s="23" t="n">
        <x:f>'数值推演'!I$122</x:f>
        <x:v>7.5</x:v>
      </x:c>
      <x:c r="L33" s="23" t="n">
        <x:f>'数值推演'!J$122</x:f>
        <x:v>9</x:v>
      </x:c>
      <x:c r="M33" s="23" t="n">
        <x:f>'数值推演'!K$122</x:f>
        <x:v>11</x:v>
      </x:c>
    </x:row>
    <x:row r="34" ht="31.5" customHeight="1">
      <x:c r="A34" s="24" t="n">
        <x:v>29</x:v>
      </x:c>
      <x:c r="B34" s="14" t="str">
        <x:v>血肉</x:v>
      </x:c>
      <x:c r="C34" s="38" t="n">
        <x:f>IF(A34=1,'数值推演'!$B$128,'数值推演'!$B$120*POWER('数值推演'!$B$123,(A34-2)/'数值推演'!$B$122))</x:f>
        <x:v>3.881027596853156</x:v>
      </x:c>
      <x:c r="D34" s="38" t="n">
        <x:f>IF(A34=1,'数值推演'!$B$129,'数值推演'!$B$121*POWER('数值推演'!$B$124,(A34-2)/'数值推演'!$B$122))</x:f>
        <x:v>1.848621970800196</x:v>
      </x:c>
      <x:c r="E34" s="24" t="n">
        <x:f>COUNTIFS('怪物总表'!$C$6:$C$105,"普通",'怪物总表'!$E$6:$E$105,"&lt;="&amp;A34)</x:f>
        <x:v>80</x:v>
      </x:c>
      <x:c r="F34" s="24" t="n">
        <x:f>COUNTIFS('怪物总表'!$C$6:$C$105,"精英",'怪物总表'!$E$6:$E$105,"&lt;="&amp;A34)</x:f>
        <x:v>20</x:v>
      </x:c>
      <x:c r="G34" s="42" t="n">
        <x:f>C35*'数值推演'!$F$120/(C34*'数值推演'!$K$120)</x:f>
        <x:v>0.6285680541434231</x:v>
      </x:c>
      <x:c r="H34" s="24" t="n">
        <x:f>'数值推演'!F$122</x:f>
        <x:v>4</x:v>
      </x:c>
      <x:c r="I34" s="24" t="n">
        <x:f>'数值推演'!G$122</x:f>
        <x:v>5</x:v>
      </x:c>
      <x:c r="J34" s="24" t="n">
        <x:f>'数值推演'!H$122</x:f>
        <x:v>6</x:v>
      </x:c>
      <x:c r="K34" s="24" t="n">
        <x:f>'数值推演'!I$122</x:f>
        <x:v>7.5</x:v>
      </x:c>
      <x:c r="L34" s="24" t="n">
        <x:f>'数值推演'!J$122</x:f>
        <x:v>9</x:v>
      </x:c>
      <x:c r="M34" s="24" t="n">
        <x:f>'数值推演'!K$122</x:f>
        <x:v>11</x:v>
      </x:c>
    </x:row>
    <x:row r="35" ht="31.5" customHeight="1">
      <x:c r="A35" s="23" t="n">
        <x:v>30</x:v>
      </x:c>
      <x:c r="B35" s="16" t="str">
        <x:v>血肉</x:v>
      </x:c>
      <x:c r="C35" s="37" t="n">
        <x:f>IF(A35=1,'数值推演'!$B$128,'数值推演'!$B$120*POWER('数值推演'!$B$123,(A35-2)/'数值推演'!$B$122))</x:f>
        <x:v>4.025158441641008</x:v>
      </x:c>
      <x:c r="D35" s="37" t="n">
        <x:f>IF(A35=1,'数值推演'!$B$129,'数值推演'!$B$121*POWER('数值推演'!$B$124,(A35-2)/'数值推演'!$B$122))</x:f>
        <x:v>1.8772964608409788</x:v>
      </x:c>
      <x:c r="E35" s="23" t="n">
        <x:f>COUNTIFS('怪物总表'!$C$6:$C$105,"普通",'怪物总表'!$E$6:$E$105,"&lt;="&amp;A35)</x:f>
        <x:v>80</x:v>
      </x:c>
      <x:c r="F35" s="23" t="n">
        <x:f>COUNTIFS('怪物总表'!$C$6:$C$105,"精英",'怪物总表'!$E$6:$E$105,"&lt;="&amp;A35)</x:f>
        <x:v>20</x:v>
      </x:c>
      <x:c r="G35" s="41" t="n">
        <x:f>C36*'数值推演'!$F$120/(C35*'数值推演'!$K$120)</x:f>
        <x:v>0.6285680541434231</x:v>
      </x:c>
      <x:c r="H35" s="23" t="n">
        <x:f>'数值推演'!F$122</x:f>
        <x:v>4</x:v>
      </x:c>
      <x:c r="I35" s="23" t="n">
        <x:f>'数值推演'!G$122</x:f>
        <x:v>5</x:v>
      </x:c>
      <x:c r="J35" s="23" t="n">
        <x:f>'数值推演'!H$122</x:f>
        <x:v>6</x:v>
      </x:c>
      <x:c r="K35" s="23" t="n">
        <x:f>'数值推演'!I$122</x:f>
        <x:v>7.5</x:v>
      </x:c>
      <x:c r="L35" s="23" t="n">
        <x:f>'数值推演'!J$122</x:f>
        <x:v>9</x:v>
      </x:c>
      <x:c r="M35" s="23" t="n">
        <x:f>'数值推演'!K$122</x:f>
        <x:v>11</x:v>
      </x:c>
    </x:row>
    <x:row r="36" ht="31.5" customHeight="1">
      <x:c r="A36" s="24" t="n">
        <x:v>31</x:v>
      </x:c>
      <x:c r="B36" s="14" t="str">
        <x:v>结晶</x:v>
      </x:c>
      <x:c r="C36" s="38" t="n">
        <x:f>IF(A36=1,'数值推演'!$B$128,'数值推演'!$B$120*POWER('数值推演'!$B$123,(A36-2)/'数值推演'!$B$122))</x:f>
        <x:v>4.174641915314081</x:v>
      </x:c>
      <x:c r="D36" s="38" t="n">
        <x:f>IF(A36=1,'数值推演'!$B$129,'数值推演'!$B$121*POWER('数值推演'!$B$124,(A36-2)/'数值推演'!$B$122))</x:f>
        <x:v>1.9064157288796901</x:v>
      </x:c>
      <x:c r="E36" s="24" t="n">
        <x:f>COUNTIFS('怪物总表'!$C$6:$C$105,"普通",'怪物总表'!$E$6:$E$105,"&lt;="&amp;A36)</x:f>
        <x:v>80</x:v>
      </x:c>
      <x:c r="F36" s="24" t="n">
        <x:f>COUNTIFS('怪物总表'!$C$6:$C$105,"精英",'怪物总表'!$E$6:$E$105,"&lt;="&amp;A36)</x:f>
        <x:v>20</x:v>
      </x:c>
      <x:c r="G36" s="42" t="n">
        <x:f>C37*'数值推演'!$F$120/(C36*'数值推演'!$K$120)</x:f>
        <x:v>0.6285680541434231</x:v>
      </x:c>
      <x:c r="H36" s="24" t="n">
        <x:f>'数值推演'!F$122</x:f>
        <x:v>4</x:v>
      </x:c>
      <x:c r="I36" s="24" t="n">
        <x:f>'数值推演'!G$122</x:f>
        <x:v>5</x:v>
      </x:c>
      <x:c r="J36" s="24" t="n">
        <x:f>'数值推演'!H$122</x:f>
        <x:v>6</x:v>
      </x:c>
      <x:c r="K36" s="24" t="n">
        <x:f>'数值推演'!I$122</x:f>
        <x:v>7.5</x:v>
      </x:c>
      <x:c r="L36" s="24" t="n">
        <x:f>'数值推演'!J$122</x:f>
        <x:v>9</x:v>
      </x:c>
      <x:c r="M36" s="24" t="n">
        <x:f>'数值推演'!K$122</x:f>
        <x:v>11</x:v>
      </x:c>
    </x:row>
    <x:row r="37" ht="31.5" customHeight="1">
      <x:c r="A37" s="23" t="n">
        <x:v>32</x:v>
      </x:c>
      <x:c r="B37" s="16" t="str">
        <x:v>结晶</x:v>
      </x:c>
      <x:c r="C37" s="37" t="n">
        <x:f>IF(A37=1,'数值推演'!$B$128,'数值推演'!$B$120*POWER('数值推演'!$B$123,(A37-2)/'数值推演'!$B$122))</x:f>
        <x:v>4.329676799999999</x:v>
      </x:c>
      <x:c r="D37" s="37" t="n">
        <x:f>IF(A37=1,'数值推演'!$B$129,'数值推演'!$B$121*POWER('数值推演'!$B$124,(A37-2)/'数值推演'!$B$122))</x:f>
        <x:v>1.9359866739916807</x:v>
      </x:c>
      <x:c r="E37" s="23" t="n">
        <x:f>COUNTIFS('怪物总表'!$C$6:$C$105,"普通",'怪物总表'!$E$6:$E$105,"&lt;="&amp;A37)</x:f>
        <x:v>80</x:v>
      </x:c>
      <x:c r="F37" s="23" t="n">
        <x:f>COUNTIFS('怪物总表'!$C$6:$C$105,"精英",'怪物总表'!$E$6:$E$105,"&lt;="&amp;A37)</x:f>
        <x:v>20</x:v>
      </x:c>
      <x:c r="G37" s="41" t="n">
        <x:f>C38*'数值推演'!$F$120/(C37*'数值推演'!$K$120)</x:f>
        <x:v>0.6285680541434231</x:v>
      </x:c>
      <x:c r="H37" s="23" t="n">
        <x:f>'数值推演'!F$122</x:f>
        <x:v>4</x:v>
      </x:c>
      <x:c r="I37" s="23" t="n">
        <x:f>'数值推演'!G$122</x:f>
        <x:v>5</x:v>
      </x:c>
      <x:c r="J37" s="23" t="n">
        <x:f>'数值推演'!H$122</x:f>
        <x:v>6</x:v>
      </x:c>
      <x:c r="K37" s="23" t="n">
        <x:f>'数值推演'!I$122</x:f>
        <x:v>7.5</x:v>
      </x:c>
      <x:c r="L37" s="23" t="n">
        <x:f>'数值推演'!J$122</x:f>
        <x:v>9</x:v>
      </x:c>
      <x:c r="M37" s="23" t="n">
        <x:f>'数值推演'!K$122</x:f>
        <x:v>11</x:v>
      </x:c>
    </x:row>
    <x:row r="38" ht="31.5" customHeight="1">
      <x:c r="A38" s="24" t="n">
        <x:v>33</x:v>
      </x:c>
      <x:c r="B38" s="14" t="str">
        <x:v>结晶</x:v>
      </x:c>
      <x:c r="C38" s="38" t="n">
        <x:f>IF(A38=1,'数值推演'!$B$128,'数值推演'!$B$120*POWER('数值推演'!$B$123,(A38-2)/'数值推演'!$B$122))</x:f>
        <x:v>4.490469260055772</x:v>
      </x:c>
      <x:c r="D38" s="38" t="n">
        <x:f>IF(A38=1,'数值推演'!$B$129,'数值推演'!$B$121*POWER('数值推演'!$B$124,(A38-2)/'数值推演'!$B$122))</x:f>
        <x:v>1.9660163022657802</x:v>
      </x:c>
      <x:c r="E38" s="24" t="n">
        <x:f>COUNTIFS('怪物总表'!$C$6:$C$105,"普通",'怪物总表'!$E$6:$E$105,"&lt;="&amp;A38)</x:f>
        <x:v>80</x:v>
      </x:c>
      <x:c r="F38" s="24" t="n">
        <x:f>COUNTIFS('怪物总表'!$C$6:$C$105,"精英",'怪物总表'!$E$6:$E$105,"&lt;="&amp;A38)</x:f>
        <x:v>20</x:v>
      </x:c>
      <x:c r="G38" s="42" t="n">
        <x:f>C39*'数值推演'!$F$120/(C38*'数值推演'!$K$120)</x:f>
        <x:v>0.628568054143423</x:v>
      </x:c>
      <x:c r="H38" s="24" t="n">
        <x:f>'数值推演'!F$122</x:f>
        <x:v>4</x:v>
      </x:c>
      <x:c r="I38" s="24" t="n">
        <x:f>'数值推演'!G$122</x:f>
        <x:v>5</x:v>
      </x:c>
      <x:c r="J38" s="24" t="n">
        <x:f>'数值推演'!H$122</x:f>
        <x:v>6</x:v>
      </x:c>
      <x:c r="K38" s="24" t="n">
        <x:f>'数值推演'!I$122</x:f>
        <x:v>7.5</x:v>
      </x:c>
      <x:c r="L38" s="24" t="n">
        <x:f>'数值推演'!J$122</x:f>
        <x:v>9</x:v>
      </x:c>
      <x:c r="M38" s="24" t="n">
        <x:f>'数值推演'!K$122</x:f>
        <x:v>11</x:v>
      </x:c>
    </x:row>
    <x:row r="39" ht="31.5" customHeight="1">
      <x:c r="A39" s="23" t="n">
        <x:v>34</x:v>
      </x:c>
      <x:c r="B39" s="16" t="str">
        <x:v>幽魂</x:v>
      </x:c>
      <x:c r="C39" s="37" t="n">
        <x:f>IF(A39=1,'数值推演'!$B$128,'数值推演'!$B$120*POWER('数值推演'!$B$123,(A39-2)/'数值推演'!$B$122))</x:f>
        <x:v>4.657233116223787</x:v>
      </x:c>
      <x:c r="D39" s="37" t="n">
        <x:f>IF(A39=1,'数值推演'!$B$129,'数值推演'!$B$121*POWER('数值推演'!$B$124,(A39-2)/'数值推演'!$B$122))</x:f>
        <x:v>1.996511728464212</x:v>
      </x:c>
      <x:c r="E39" s="23" t="n">
        <x:f>COUNTIFS('怪物总表'!$C$6:$C$105,"普通",'怪物总表'!$E$6:$E$105,"&lt;="&amp;A39)</x:f>
        <x:v>80</x:v>
      </x:c>
      <x:c r="F39" s="23" t="n">
        <x:f>COUNTIFS('怪物总表'!$C$6:$C$105,"精英",'怪物总表'!$E$6:$E$105,"&lt;="&amp;A39)</x:f>
        <x:v>20</x:v>
      </x:c>
      <x:c r="G39" s="41" t="n">
        <x:f>C40*'数值推演'!$F$120/(C39*'数值推演'!$K$120)</x:f>
        <x:v>0.6285680541434231</x:v>
      </x:c>
      <x:c r="H39" s="23" t="n">
        <x:f>'数值推演'!F$122</x:f>
        <x:v>4</x:v>
      </x:c>
      <x:c r="I39" s="23" t="n">
        <x:f>'数值推演'!G$122</x:f>
        <x:v>5</x:v>
      </x:c>
      <x:c r="J39" s="23" t="n">
        <x:f>'数值推演'!H$122</x:f>
        <x:v>6</x:v>
      </x:c>
      <x:c r="K39" s="23" t="n">
        <x:f>'数值推演'!I$122</x:f>
        <x:v>7.5</x:v>
      </x:c>
      <x:c r="L39" s="23" t="n">
        <x:f>'数值推演'!J$122</x:f>
        <x:v>9</x:v>
      </x:c>
      <x:c r="M39" s="23" t="n">
        <x:f>'数值推演'!K$122</x:f>
        <x:v>11</x:v>
      </x:c>
    </x:row>
    <x:row r="40" ht="31.5" customHeight="1">
      <x:c r="A40" s="24" t="n">
        <x:v>35</x:v>
      </x:c>
      <x:c r="B40" s="14" t="str">
        <x:v>幽魂</x:v>
      </x:c>
      <x:c r="C40" s="38" t="n">
        <x:f>IF(A40=1,'数值推演'!$B$128,'数值推演'!$B$120*POWER('数值推演'!$B$123,(A40-2)/'数值推演'!$B$122))</x:f>
        <x:v>4.830190129969209</x:v>
      </x:c>
      <x:c r="D40" s="38" t="n">
        <x:f>IF(A40=1,'数值推演'!$B$129,'数值推演'!$B$121*POWER('数值推演'!$B$124,(A40-2)/'数值推演'!$B$122))</x:f>
        <x:v>2.027480177708257</x:v>
      </x:c>
      <x:c r="E40" s="24" t="n">
        <x:f>COUNTIFS('怪物总表'!$C$6:$C$105,"普通",'怪物总表'!$E$6:$E$105,"&lt;="&amp;A40)</x:f>
        <x:v>80</x:v>
      </x:c>
      <x:c r="F40" s="24" t="n">
        <x:f>COUNTIFS('怪物总表'!$C$6:$C$105,"精英",'怪物总表'!$E$6:$E$105,"&lt;="&amp;A40)</x:f>
        <x:v>20</x:v>
      </x:c>
      <x:c r="G40" s="42" t="n">
        <x:f>C41*'数值推演'!$F$120/(C40*'数值推演'!$K$120)</x:f>
        <x:v>0.628568054143423</x:v>
      </x:c>
      <x:c r="H40" s="24" t="n">
        <x:f>'数值推演'!F$122</x:f>
        <x:v>4</x:v>
      </x:c>
      <x:c r="I40" s="24" t="n">
        <x:f>'数值推演'!G$122</x:f>
        <x:v>5</x:v>
      </x:c>
      <x:c r="J40" s="24" t="n">
        <x:f>'数值推演'!H$122</x:f>
        <x:v>6</x:v>
      </x:c>
      <x:c r="K40" s="24" t="n">
        <x:f>'数值推演'!I$122</x:f>
        <x:v>7.5</x:v>
      </x:c>
      <x:c r="L40" s="24" t="n">
        <x:f>'数值推演'!J$122</x:f>
        <x:v>9</x:v>
      </x:c>
      <x:c r="M40" s="24" t="n">
        <x:f>'数值推演'!K$122</x:f>
        <x:v>11</x:v>
      </x:c>
    </x:row>
    <x:row r="41" ht="31.5" customHeight="1">
      <x:c r="A41" s="23" t="n">
        <x:v>36</x:v>
      </x:c>
      <x:c r="B41" s="16" t="str">
        <x:v>幽魂</x:v>
      </x:c>
      <x:c r="C41" s="37" t="n">
        <x:f>IF(A41=1,'数值推演'!$B$128,'数值推演'!$B$120*POWER('数值推演'!$B$123,(A41-2)/'数值推演'!$B$122))</x:f>
        <x:v>5.009570298376897</x:v>
      </x:c>
      <x:c r="D41" s="37" t="n">
        <x:f>IF(A41=1,'数值推演'!$B$129,'数值推演'!$B$121*POWER('数值推演'!$B$124,(A41-2)/'数值推演'!$B$122))</x:f>
        <x:v>2.0589289871900656</x:v>
      </x:c>
      <x:c r="E41" s="23" t="n">
        <x:f>COUNTIFS('怪物总表'!$C$6:$C$105,"普通",'怪物总表'!$E$6:$E$105,"&lt;="&amp;A41)</x:f>
        <x:v>80</x:v>
      </x:c>
      <x:c r="F41" s="23" t="n">
        <x:f>COUNTIFS('怪物总表'!$C$6:$C$105,"精英",'怪物总表'!$E$6:$E$105,"&lt;="&amp;A41)</x:f>
        <x:v>20</x:v>
      </x:c>
      <x:c r="G41" s="41" t="n">
        <x:f>C42*'数值推演'!$F$120/(C41*'数值推演'!$K$120)</x:f>
        <x:v>0.6285680541434232</x:v>
      </x:c>
      <x:c r="H41" s="23" t="n">
        <x:f>'数值推演'!F$122</x:f>
        <x:v>4</x:v>
      </x:c>
      <x:c r="I41" s="23" t="n">
        <x:f>'数值推演'!G$122</x:f>
        <x:v>5</x:v>
      </x:c>
      <x:c r="J41" s="23" t="n">
        <x:f>'数值推演'!H$122</x:f>
        <x:v>6</x:v>
      </x:c>
      <x:c r="K41" s="23" t="n">
        <x:f>'数值推演'!I$122</x:f>
        <x:v>7.5</x:v>
      </x:c>
      <x:c r="L41" s="23" t="n">
        <x:f>'数值推演'!J$122</x:f>
        <x:v>9</x:v>
      </x:c>
      <x:c r="M41" s="23" t="n">
        <x:f>'数值推演'!K$122</x:f>
        <x:v>11</x:v>
      </x:c>
    </x:row>
    <x:row r="42" ht="31.5" customHeight="1">
      <x:c r="A42" s="24" t="n">
        <x:v>37</x:v>
      </x:c>
      <x:c r="B42" s="14" t="str">
        <x:v>血肉</x:v>
      </x:c>
      <x:c r="C42" s="38" t="n">
        <x:f>IF(A42=1,'数值推演'!$B$128,'数值推演'!$B$120*POWER('数值推演'!$B$123,(A42-2)/'数值推演'!$B$122))</x:f>
        <x:v>5.195612159999999</x:v>
      </x:c>
      <x:c r="D42" s="38" t="n">
        <x:f>IF(A42=1,'数值推演'!$B$129,'数值推演'!$B$121*POWER('数值推演'!$B$124,(A42-2)/'数值推演'!$B$122))</x:f>
        <x:v>2.0908656079110153</x:v>
      </x:c>
      <x:c r="E42" s="24" t="n">
        <x:f>COUNTIFS('怪物总表'!$C$6:$C$105,"普通",'怪物总表'!$E$6:$E$105,"&lt;="&amp;A42)</x:f>
        <x:v>80</x:v>
      </x:c>
      <x:c r="F42" s="24" t="n">
        <x:f>COUNTIFS('怪物总表'!$C$6:$C$105,"精英",'怪物总表'!$E$6:$E$105,"&lt;="&amp;A42)</x:f>
        <x:v>20</x:v>
      </x:c>
      <x:c r="G42" s="42" t="n">
        <x:f>C43*'数值推演'!$F$120/(C42*'数值推演'!$K$120)</x:f>
        <x:v>0.628568054143423</x:v>
      </x:c>
      <x:c r="H42" s="24" t="n">
        <x:f>'数值推演'!F$122</x:f>
        <x:v>4</x:v>
      </x:c>
      <x:c r="I42" s="24" t="n">
        <x:f>'数值推演'!G$122</x:f>
        <x:v>5</x:v>
      </x:c>
      <x:c r="J42" s="24" t="n">
        <x:f>'数值推演'!H$122</x:f>
        <x:v>6</x:v>
      </x:c>
      <x:c r="K42" s="24" t="n">
        <x:f>'数值推演'!I$122</x:f>
        <x:v>7.5</x:v>
      </x:c>
      <x:c r="L42" s="24" t="n">
        <x:f>'数值推演'!J$122</x:f>
        <x:v>9</x:v>
      </x:c>
      <x:c r="M42" s="24" t="n">
        <x:f>'数值推演'!K$122</x:f>
        <x:v>11</x:v>
      </x:c>
    </x:row>
    <x:row r="43" ht="31.5" customHeight="1">
      <x:c r="A43" s="23" t="n">
        <x:v>38</x:v>
      </x:c>
      <x:c r="B43" s="16" t="str">
        <x:v>血肉</x:v>
      </x:c>
      <x:c r="C43" s="37" t="n">
        <x:f>IF(A43=1,'数值推演'!$B$128,'数值推演'!$B$120*POWER('数值推演'!$B$123,(A43-2)/'数值推演'!$B$122))</x:f>
        <x:v>5.388563112066925</x:v>
      </x:c>
      <x:c r="D43" s="37" t="n">
        <x:f>IF(A43=1,'数值推演'!$B$129,'数值推演'!$B$121*POWER('数值推演'!$B$124,(A43-2)/'数值推演'!$B$122))</x:f>
        <x:v>2.123297606447043</x:v>
      </x:c>
      <x:c r="E43" s="23" t="n">
        <x:f>COUNTIFS('怪物总表'!$C$6:$C$105,"普通",'怪物总表'!$E$6:$E$105,"&lt;="&amp;A43)</x:f>
        <x:v>80</x:v>
      </x:c>
      <x:c r="F43" s="23" t="n">
        <x:f>COUNTIFS('怪物总表'!$C$6:$C$105,"精英",'怪物总表'!$E$6:$E$105,"&lt;="&amp;A43)</x:f>
        <x:v>20</x:v>
      </x:c>
      <x:c r="G43" s="41" t="n">
        <x:f>C44*'数值推演'!$F$120/(C43*'数值推演'!$K$120)</x:f>
        <x:v>0.6285680541434231</x:v>
      </x:c>
      <x:c r="H43" s="23" t="n">
        <x:f>'数值推演'!F$122</x:f>
        <x:v>4</x:v>
      </x:c>
      <x:c r="I43" s="23" t="n">
        <x:f>'数值推演'!G$122</x:f>
        <x:v>5</x:v>
      </x:c>
      <x:c r="J43" s="23" t="n">
        <x:f>'数值推演'!H$122</x:f>
        <x:v>6</x:v>
      </x:c>
      <x:c r="K43" s="23" t="n">
        <x:f>'数值推演'!I$122</x:f>
        <x:v>7.5</x:v>
      </x:c>
      <x:c r="L43" s="23" t="n">
        <x:f>'数值推演'!J$122</x:f>
        <x:v>9</x:v>
      </x:c>
      <x:c r="M43" s="23" t="n">
        <x:f>'数值推演'!K$122</x:f>
        <x:v>11</x:v>
      </x:c>
    </x:row>
    <x:row r="44" ht="31.5" customHeight="1">
      <x:c r="A44" s="24" t="n">
        <x:v>39</x:v>
      </x:c>
      <x:c r="B44" s="14" t="str">
        <x:v>血肉</x:v>
      </x:c>
      <x:c r="C44" s="38" t="n">
        <x:f>IF(A44=1,'数值推演'!$B$128,'数值推演'!$B$120*POWER('数值推演'!$B$123,(A44-2)/'数值推演'!$B$122))</x:f>
        <x:v>5.588679739468544</x:v>
      </x:c>
      <x:c r="D44" s="38" t="n">
        <x:f>IF(A44=1,'数值推演'!$B$129,'数值推演'!$B$121*POWER('数值推演'!$B$124,(A44-2)/'数值推演'!$B$122))</x:f>
        <x:v>2.156232666741349</x:v>
      </x:c>
      <x:c r="E44" s="24" t="n">
        <x:f>COUNTIFS('怪物总表'!$C$6:$C$105,"普通",'怪物总表'!$E$6:$E$105,"&lt;="&amp;A44)</x:f>
        <x:v>80</x:v>
      </x:c>
      <x:c r="F44" s="24" t="n">
        <x:f>COUNTIFS('怪物总表'!$C$6:$C$105,"精英",'怪物总表'!$E$6:$E$105,"&lt;="&amp;A44)</x:f>
        <x:v>20</x:v>
      </x:c>
      <x:c r="G44" s="42" t="n">
        <x:f>C45*'数值推演'!$F$120/(C44*'数值推演'!$K$120)</x:f>
        <x:v>0.6285680541434232</x:v>
      </x:c>
      <x:c r="H44" s="24" t="n">
        <x:f>'数值推演'!F$122</x:f>
        <x:v>4</x:v>
      </x:c>
      <x:c r="I44" s="24" t="n">
        <x:f>'数值推演'!G$122</x:f>
        <x:v>5</x:v>
      </x:c>
      <x:c r="J44" s="24" t="n">
        <x:f>'数值推演'!H$122</x:f>
        <x:v>6</x:v>
      </x:c>
      <x:c r="K44" s="24" t="n">
        <x:f>'数值推演'!I$122</x:f>
        <x:v>7.5</x:v>
      </x:c>
      <x:c r="L44" s="24" t="n">
        <x:f>'数值推演'!J$122</x:f>
        <x:v>9</x:v>
      </x:c>
      <x:c r="M44" s="24" t="n">
        <x:f>'数值推演'!K$122</x:f>
        <x:v>11</x:v>
      </x:c>
    </x:row>
    <x:row r="45" ht="31.5" customHeight="1">
      <x:c r="A45" s="23" t="n">
        <x:v>40</x:v>
      </x:c>
      <x:c r="B45" s="16" t="str">
        <x:v>结晶</x:v>
      </x:c>
      <x:c r="C45" s="37" t="n">
        <x:f>IF(A45=1,'数值推演'!$B$128,'数值推演'!$B$120*POWER('数值推演'!$B$123,(A45-2)/'数值推演'!$B$122))</x:f>
        <x:v>5.796228155963051</x:v>
      </x:c>
      <x:c r="D45" s="37" t="n">
        <x:f>IF(A45=1,'数值推演'!$B$129,'数值推演'!$B$121*POWER('数值推演'!$B$124,(A45-2)/'数值推演'!$B$122))</x:f>
        <x:v>2.189678591924918</x:v>
      </x:c>
      <x:c r="E45" s="23" t="n">
        <x:f>COUNTIFS('怪物总表'!$C$6:$C$105,"普通",'怪物总表'!$E$6:$E$105,"&lt;="&amp;A45)</x:f>
        <x:v>80</x:v>
      </x:c>
      <x:c r="F45" s="23" t="n">
        <x:f>COUNTIFS('怪物总表'!$C$6:$C$105,"精英",'怪物总表'!$E$6:$E$105,"&lt;="&amp;A45)</x:f>
        <x:v>20</x:v>
      </x:c>
      <x:c r="G45" s="41" t="n">
        <x:f>C46*'数值推演'!$F$120/(C45*'数值推演'!$K$120)</x:f>
        <x:v>0.6285680541434231</x:v>
      </x:c>
      <x:c r="H45" s="23" t="n">
        <x:f>'数值推演'!F$122</x:f>
        <x:v>4</x:v>
      </x:c>
      <x:c r="I45" s="23" t="n">
        <x:f>'数值推演'!G$122</x:f>
        <x:v>5</x:v>
      </x:c>
      <x:c r="J45" s="23" t="n">
        <x:f>'数值推演'!H$122</x:f>
        <x:v>6</x:v>
      </x:c>
      <x:c r="K45" s="23" t="n">
        <x:f>'数值推演'!I$122</x:f>
        <x:v>7.5</x:v>
      </x:c>
      <x:c r="L45" s="23" t="n">
        <x:f>'数值推演'!J$122</x:f>
        <x:v>9</x:v>
      </x:c>
      <x:c r="M45" s="23" t="n">
        <x:f>'数值推演'!K$122</x:f>
        <x:v>11</x:v>
      </x:c>
    </x:row>
    <x:row r="46" ht="31.5" customHeight="1">
      <x:c r="A46" s="24" t="n">
        <x:v>41</x:v>
      </x:c>
      <x:c r="B46" s="14" t="str">
        <x:v>结晶</x:v>
      </x:c>
      <x:c r="C46" s="38" t="n">
        <x:f>IF(A46=1,'数值推演'!$B$128,'数值推演'!$B$120*POWER('数值推演'!$B$123,(A46-2)/'数值推演'!$B$122))</x:f>
        <x:v>6.011484358052277</x:v>
      </x:c>
      <x:c r="D46" s="38" t="n">
        <x:f>IF(A46=1,'数值推演'!$B$129,'数值推演'!$B$121*POWER('数值推演'!$B$124,(A46-2)/'数值推演'!$B$122))</x:f>
        <x:v>2.223643306165271</x:v>
      </x:c>
      <x:c r="E46" s="24" t="n">
        <x:f>COUNTIFS('怪物总表'!$C$6:$C$105,"普通",'怪物总表'!$E$6:$E$105,"&lt;="&amp;A46)</x:f>
        <x:v>80</x:v>
      </x:c>
      <x:c r="F46" s="24" t="n">
        <x:f>COUNTIFS('怪物总表'!$C$6:$C$105,"精英",'怪物总表'!$E$6:$E$105,"&lt;="&amp;A46)</x:f>
        <x:v>20</x:v>
      </x:c>
      <x:c r="G46" s="42" t="n">
        <x:f>C47*'数值推演'!$F$120/(C46*'数值推演'!$K$120)</x:f>
        <x:v>0.6285680541434231</x:v>
      </x:c>
      <x:c r="H46" s="24" t="n">
        <x:f>'数值推演'!F$122</x:f>
        <x:v>4</x:v>
      </x:c>
      <x:c r="I46" s="24" t="n">
        <x:f>'数值推演'!G$122</x:f>
        <x:v>5</x:v>
      </x:c>
      <x:c r="J46" s="24" t="n">
        <x:f>'数值推演'!H$122</x:f>
        <x:v>6</x:v>
      </x:c>
      <x:c r="K46" s="24" t="n">
        <x:f>'数值推演'!I$122</x:f>
        <x:v>7.5</x:v>
      </x:c>
      <x:c r="L46" s="24" t="n">
        <x:f>'数值推演'!J$122</x:f>
        <x:v>9</x:v>
      </x:c>
      <x:c r="M46" s="24" t="n">
        <x:f>'数值推演'!K$122</x:f>
        <x:v>11</x:v>
      </x:c>
    </x:row>
    <x:row r="47" ht="31.5" customHeight="1">
      <x:c r="A47" s="23" t="n">
        <x:v>42</x:v>
      </x:c>
      <x:c r="B47" s="16" t="str">
        <x:v>结晶</x:v>
      </x:c>
      <x:c r="C47" s="37" t="n">
        <x:f>IF(A47=1,'数值推演'!$B$128,'数值推演'!$B$120*POWER('数值推演'!$B$123,(A47-2)/'数值推演'!$B$122))</x:f>
        <x:v>6.234734591999998</x:v>
      </x:c>
      <x:c r="D47" s="37" t="n">
        <x:f>IF(A47=1,'数值推演'!$B$129,'数值推演'!$B$121*POWER('数值推演'!$B$124,(A47-2)/'数值推演'!$B$122))</x:f>
        <x:v>2.258134856543897</x:v>
      </x:c>
      <x:c r="E47" s="23" t="n">
        <x:f>COUNTIFS('怪物总表'!$C$6:$C$105,"普通",'怪物总表'!$E$6:$E$105,"&lt;="&amp;A47)</x:f>
        <x:v>80</x:v>
      </x:c>
      <x:c r="F47" s="23" t="n">
        <x:f>COUNTIFS('怪物总表'!$C$6:$C$105,"精英",'怪物总表'!$E$6:$E$105,"&lt;="&amp;A47)</x:f>
        <x:v>20</x:v>
      </x:c>
      <x:c r="G47" s="41" t="n">
        <x:f>C48*'数值推演'!$F$120/(C47*'数值推演'!$K$120)</x:f>
        <x:v>0.628568054143423</x:v>
      </x:c>
      <x:c r="H47" s="23" t="n">
        <x:f>'数值推演'!F$122</x:f>
        <x:v>4</x:v>
      </x:c>
      <x:c r="I47" s="23" t="n">
        <x:f>'数值推演'!G$122</x:f>
        <x:v>5</x:v>
      </x:c>
      <x:c r="J47" s="23" t="n">
        <x:f>'数值推演'!H$122</x:f>
        <x:v>6</x:v>
      </x:c>
      <x:c r="K47" s="23" t="n">
        <x:f>'数值推演'!I$122</x:f>
        <x:v>7.5</x:v>
      </x:c>
      <x:c r="L47" s="23" t="n">
        <x:f>'数值推演'!J$122</x:f>
        <x:v>9</x:v>
      </x:c>
      <x:c r="M47" s="23" t="n">
        <x:f>'数值推演'!K$122</x:f>
        <x:v>11</x:v>
      </x:c>
    </x:row>
    <x:row r="48" ht="31.5" customHeight="1">
      <x:c r="A48" s="24" t="n">
        <x:v>43</x:v>
      </x:c>
      <x:c r="B48" s="14" t="str">
        <x:v>幽魂</x:v>
      </x:c>
      <x:c r="C48" s="38" t="n">
        <x:f>IF(A48=1,'数值推演'!$B$128,'数值推演'!$B$120*POWER('数值推演'!$B$123,(A48-2)/'数值推演'!$B$122))</x:f>
        <x:v>6.46627573448031</x:v>
      </x:c>
      <x:c r="D48" s="38" t="n">
        <x:f>IF(A48=1,'数值推演'!$B$129,'数值推演'!$B$121*POWER('数值推演'!$B$124,(A48-2)/'数值推演'!$B$122))</x:f>
        <x:v>2.293161414962806</x:v>
      </x:c>
      <x:c r="E48" s="24" t="n">
        <x:f>COUNTIFS('怪物总表'!$C$6:$C$105,"普通",'怪物总表'!$E$6:$E$105,"&lt;="&amp;A48)</x:f>
        <x:v>80</x:v>
      </x:c>
      <x:c r="F48" s="24" t="n">
        <x:f>COUNTIFS('怪物总表'!$C$6:$C$105,"精英",'怪物总表'!$E$6:$E$105,"&lt;="&amp;A48)</x:f>
        <x:v>20</x:v>
      </x:c>
      <x:c r="G48" s="42" t="n">
        <x:f>C49*'数值推演'!$F$120/(C48*'数值推演'!$K$120)</x:f>
        <x:v>0.6285680541434232</x:v>
      </x:c>
      <x:c r="H48" s="24" t="n">
        <x:f>'数值推演'!F$122</x:f>
        <x:v>4</x:v>
      </x:c>
      <x:c r="I48" s="24" t="n">
        <x:f>'数值推演'!G$122</x:f>
        <x:v>5</x:v>
      </x:c>
      <x:c r="J48" s="24" t="n">
        <x:f>'数值推演'!H$122</x:f>
        <x:v>6</x:v>
      </x:c>
      <x:c r="K48" s="24" t="n">
        <x:f>'数值推演'!I$122</x:f>
        <x:v>7.5</x:v>
      </x:c>
      <x:c r="L48" s="24" t="n">
        <x:f>'数值推演'!J$122</x:f>
        <x:v>9</x:v>
      </x:c>
      <x:c r="M48" s="24" t="n">
        <x:f>'数值推演'!K$122</x:f>
        <x:v>11</x:v>
      </x:c>
    </x:row>
    <x:row r="49" ht="31.5" customHeight="1">
      <x:c r="A49" s="23" t="n">
        <x:v>44</x:v>
      </x:c>
      <x:c r="B49" s="16" t="str">
        <x:v>幽魂</x:v>
      </x:c>
      <x:c r="C49" s="37" t="n">
        <x:f>IF(A49=1,'数值推演'!$B$128,'数值推演'!$B$120*POWER('数值推演'!$B$123,(A49-2)/'数值推演'!$B$122))</x:f>
        <x:v>6.706415687362253</x:v>
      </x:c>
      <x:c r="D49" s="37" t="n">
        <x:f>IF(A49=1,'数值推演'!$B$129,'数值推演'!$B$121*POWER('数值推演'!$B$124,(A49-2)/'数值推演'!$B$122))</x:f>
        <x:v>2.328731280080657</x:v>
      </x:c>
      <x:c r="E49" s="23" t="n">
        <x:f>COUNTIFS('怪物总表'!$C$6:$C$105,"普通",'怪物总表'!$E$6:$E$105,"&lt;="&amp;A49)</x:f>
        <x:v>80</x:v>
      </x:c>
      <x:c r="F49" s="23" t="n">
        <x:f>COUNTIFS('怪物总表'!$C$6:$C$105,"精英",'怪物总表'!$E$6:$E$105,"&lt;="&amp;A49)</x:f>
        <x:v>20</x:v>
      </x:c>
      <x:c r="G49" s="41" t="n">
        <x:f>C50*'数值推演'!$F$120/(C49*'数值推演'!$K$120)</x:f>
        <x:v>0.6285680541434231</x:v>
      </x:c>
      <x:c r="H49" s="23" t="n">
        <x:f>'数值推演'!F$122</x:f>
        <x:v>4</x:v>
      </x:c>
      <x:c r="I49" s="23" t="n">
        <x:f>'数值推演'!G$122</x:f>
        <x:v>5</x:v>
      </x:c>
      <x:c r="J49" s="23" t="n">
        <x:f>'数值推演'!H$122</x:f>
        <x:v>6</x:v>
      </x:c>
      <x:c r="K49" s="23" t="n">
        <x:f>'数值推演'!I$122</x:f>
        <x:v>7.5</x:v>
      </x:c>
      <x:c r="L49" s="23" t="n">
        <x:f>'数值推演'!J$122</x:f>
        <x:v>9</x:v>
      </x:c>
      <x:c r="M49" s="23" t="n">
        <x:f>'数值推演'!K$122</x:f>
        <x:v>11</x:v>
      </x:c>
    </x:row>
    <x:row r="50" ht="31.5" customHeight="1">
      <x:c r="A50" s="24" t="n">
        <x:v>45</x:v>
      </x:c>
      <x:c r="B50" s="14" t="str">
        <x:v>幽魂</x:v>
      </x:c>
      <x:c r="C50" s="38" t="n">
        <x:f>IF(A50=1,'数值推演'!$B$128,'数值推演'!$B$120*POWER('数值推演'!$B$123,(A50-2)/'数值推演'!$B$122))</x:f>
        <x:v>6.95547378715566</x:v>
      </x:c>
      <x:c r="D50" s="38" t="n">
        <x:f>IF(A50=1,'数值推演'!$B$129,'数值推演'!$B$121*POWER('数值推演'!$B$124,(A50-2)/'数值推演'!$B$122))</x:f>
        <x:v>2.3648528792789114</x:v>
      </x:c>
      <x:c r="E50" s="24" t="n">
        <x:f>COUNTIFS('怪物总表'!$C$6:$C$105,"普通",'怪物总表'!$E$6:$E$105,"&lt;="&amp;A50)</x:f>
        <x:v>80</x:v>
      </x:c>
      <x:c r="F50" s="24" t="n">
        <x:f>COUNTIFS('怪物总表'!$C$6:$C$105,"精英",'怪物总表'!$E$6:$E$105,"&lt;="&amp;A50)</x:f>
        <x:v>20</x:v>
      </x:c>
      <x:c r="G50" s="42" t="n">
        <x:f>C51*'数值推演'!$F$120/(C50*'数值推演'!$K$120)</x:f>
        <x:v>0.6285680541434232</x:v>
      </x:c>
      <x:c r="H50" s="24" t="n">
        <x:f>'数值推演'!F$122</x:f>
        <x:v>4</x:v>
      </x:c>
      <x:c r="I50" s="24" t="n">
        <x:f>'数值推演'!G$122</x:f>
        <x:v>5</x:v>
      </x:c>
      <x:c r="J50" s="24" t="n">
        <x:f>'数值推演'!H$122</x:f>
        <x:v>6</x:v>
      </x:c>
      <x:c r="K50" s="24" t="n">
        <x:f>'数值推演'!I$122</x:f>
        <x:v>7.5</x:v>
      </x:c>
      <x:c r="L50" s="24" t="n">
        <x:f>'数值推演'!J$122</x:f>
        <x:v>9</x:v>
      </x:c>
      <x:c r="M50" s="24" t="n">
        <x:f>'数值推演'!K$122</x:f>
        <x:v>11</x:v>
      </x:c>
    </x:row>
    <x:row r="51" ht="31.5" customHeight="1">
      <x:c r="A51" s="23" t="n">
        <x:v>46</x:v>
      </x:c>
      <x:c r="B51" s="16" t="str">
        <x:v>血肉</x:v>
      </x:c>
      <x:c r="C51" s="37" t="n">
        <x:f>IF(A51=1,'数值推演'!$B$128,'数值推演'!$B$120*POWER('数值推演'!$B$123,(A51-2)/'数值推演'!$B$122))</x:f>
        <x:v>7.2137812296627315</x:v>
      </x:c>
      <x:c r="D51" s="37" t="n">
        <x:f>IF(A51=1,'数值推演'!$B$129,'数值推演'!$B$121*POWER('数值推演'!$B$124,(A51-2)/'数值推演'!$B$122))</x:f>
        <x:v>2.401534770658493</x:v>
      </x:c>
      <x:c r="E51" s="23" t="n">
        <x:f>COUNTIFS('怪物总表'!$C$6:$C$105,"普通",'怪物总表'!$E$6:$E$105,"&lt;="&amp;A51)</x:f>
        <x:v>80</x:v>
      </x:c>
      <x:c r="F51" s="23" t="n">
        <x:f>COUNTIFS('怪物总表'!$C$6:$C$105,"精英",'怪物总表'!$E$6:$E$105,"&lt;="&amp;A51)</x:f>
        <x:v>20</x:v>
      </x:c>
      <x:c r="G51" s="41" t="n">
        <x:f>C52*'数值推演'!$F$120/(C51*'数值推演'!$K$120)</x:f>
        <x:v>0.6285680541434231</x:v>
      </x:c>
      <x:c r="H51" s="23" t="n">
        <x:f>'数值推演'!F$122</x:f>
        <x:v>4</x:v>
      </x:c>
      <x:c r="I51" s="23" t="n">
        <x:f>'数值推演'!G$122</x:f>
        <x:v>5</x:v>
      </x:c>
      <x:c r="J51" s="23" t="n">
        <x:f>'数值推演'!H$122</x:f>
        <x:v>6</x:v>
      </x:c>
      <x:c r="K51" s="23" t="n">
        <x:f>'数值推演'!I$122</x:f>
        <x:v>7.5</x:v>
      </x:c>
      <x:c r="L51" s="23" t="n">
        <x:f>'数值推演'!J$122</x:f>
        <x:v>9</x:v>
      </x:c>
      <x:c r="M51" s="23" t="n">
        <x:f>'数值推演'!K$122</x:f>
        <x:v>11</x:v>
      </x:c>
    </x:row>
    <x:row r="52" ht="31.5" customHeight="1">
      <x:c r="A52" s="24" t="n">
        <x:v>47</x:v>
      </x:c>
      <x:c r="B52" s="14" t="str">
        <x:v>血肉</x:v>
      </x:c>
      <x:c r="C52" s="38" t="n">
        <x:f>IF(A52=1,'数值推演'!$B$128,'数值推演'!$B$120*POWER('数值推演'!$B$123,(A52-2)/'数值推演'!$B$122))</x:f>
        <x:v>7.481681510399998</x:v>
      </x:c>
      <x:c r="D52" s="38" t="n">
        <x:f>IF(A52=1,'数值推演'!$B$129,'数值推演'!$B$121*POWER('数值推演'!$B$124,(A52-2)/'数值推演'!$B$122))</x:f>
        <x:v>2.4387856450674086</x:v>
      </x:c>
      <x:c r="E52" s="24" t="n">
        <x:f>COUNTIFS('怪物总表'!$C$6:$C$105,"普通",'怪物总表'!$E$6:$E$105,"&lt;="&amp;A52)</x:f>
        <x:v>80</x:v>
      </x:c>
      <x:c r="F52" s="24" t="n">
        <x:f>COUNTIFS('怪物总表'!$C$6:$C$105,"精英",'怪物总表'!$E$6:$E$105,"&lt;="&amp;A52)</x:f>
        <x:v>20</x:v>
      </x:c>
      <x:c r="G52" s="42" t="n">
        <x:f>C53*'数值推演'!$F$120/(C52*'数值推演'!$K$120)</x:f>
        <x:v>0.628568054143423</x:v>
      </x:c>
      <x:c r="H52" s="24" t="n">
        <x:f>'数值推演'!F$122</x:f>
        <x:v>4</x:v>
      </x:c>
      <x:c r="I52" s="24" t="n">
        <x:f>'数值推演'!G$122</x:f>
        <x:v>5</x:v>
      </x:c>
      <x:c r="J52" s="24" t="n">
        <x:f>'数值推演'!H$122</x:f>
        <x:v>6</x:v>
      </x:c>
      <x:c r="K52" s="24" t="n">
        <x:f>'数值推演'!I$122</x:f>
        <x:v>7.5</x:v>
      </x:c>
      <x:c r="L52" s="24" t="n">
        <x:f>'数值推演'!J$122</x:f>
        <x:v>9</x:v>
      </x:c>
      <x:c r="M52" s="24" t="n">
        <x:f>'数值推演'!K$122</x:f>
        <x:v>11</x:v>
      </x:c>
    </x:row>
    <x:row r="53" ht="31.5" customHeight="1">
      <x:c r="A53" s="23" t="n">
        <x:v>48</x:v>
      </x:c>
      <x:c r="B53" s="16" t="str">
        <x:v>血肉</x:v>
      </x:c>
      <x:c r="C53" s="37" t="n">
        <x:f>IF(A53=1,'数值推演'!$B$128,'数值推演'!$B$120*POWER('数值推演'!$B$123,(A53-2)/'数值推演'!$B$122))</x:f>
        <x:v>7.759530881376372</x:v>
      </x:c>
      <x:c r="D53" s="37" t="n">
        <x:f>IF(A53=1,'数值推演'!$B$129,'数值推演'!$B$121*POWER('数值推演'!$B$124,(A53-2)/'数值推演'!$B$122))</x:f>
        <x:v>2.4766143281598305</x:v>
      </x:c>
      <x:c r="E53" s="23" t="n">
        <x:f>COUNTIFS('怪物总表'!$C$6:$C$105,"普通",'怪物总表'!$E$6:$E$105,"&lt;="&amp;A53)</x:f>
        <x:v>80</x:v>
      </x:c>
      <x:c r="F53" s="23" t="n">
        <x:f>COUNTIFS('怪物总表'!$C$6:$C$105,"精英",'怪物总表'!$E$6:$E$105,"&lt;="&amp;A53)</x:f>
        <x:v>20</x:v>
      </x:c>
      <x:c r="G53" s="41" t="n">
        <x:f>C54*'数值推演'!$F$120/(C53*'数值推演'!$K$120)</x:f>
        <x:v>0.6285680541434231</x:v>
      </x:c>
      <x:c r="H53" s="23" t="n">
        <x:f>'数值推演'!F$122</x:f>
        <x:v>4</x:v>
      </x:c>
      <x:c r="I53" s="23" t="n">
        <x:f>'数值推演'!G$122</x:f>
        <x:v>5</x:v>
      </x:c>
      <x:c r="J53" s="23" t="n">
        <x:f>'数值推演'!H$122</x:f>
        <x:v>6</x:v>
      </x:c>
      <x:c r="K53" s="23" t="n">
        <x:f>'数值推演'!I$122</x:f>
        <x:v>7.5</x:v>
      </x:c>
      <x:c r="L53" s="23" t="n">
        <x:f>'数值推演'!J$122</x:f>
        <x:v>9</x:v>
      </x:c>
      <x:c r="M53" s="23" t="n">
        <x:f>'数值推演'!K$122</x:f>
        <x:v>11</x:v>
      </x:c>
    </x:row>
    <x:row r="54" ht="31.5" customHeight="1">
      <x:c r="A54" s="24" t="n">
        <x:v>49</x:v>
      </x:c>
      <x:c r="B54" s="14" t="str">
        <x:v>结晶</x:v>
      </x:c>
      <x:c r="C54" s="38" t="n">
        <x:f>IF(A54=1,'数值推演'!$B$128,'数值推演'!$B$120*POWER('数值推演'!$B$123,(A54-2)/'数值推演'!$B$122))</x:f>
        <x:v>8.047698824834702</x:v>
      </x:c>
      <x:c r="D54" s="38" t="n">
        <x:f>IF(A54=1,'数值推演'!$B$129,'数值推演'!$B$121*POWER('数值推演'!$B$124,(A54-2)/'数值推演'!$B$122))</x:f>
        <x:v>2.5150297824871095</x:v>
      </x:c>
      <x:c r="E54" s="24" t="n">
        <x:f>COUNTIFS('怪物总表'!$C$6:$C$105,"普通",'怪物总表'!$E$6:$E$105,"&lt;="&amp;A54)</x:f>
        <x:v>80</x:v>
      </x:c>
      <x:c r="F54" s="24" t="n">
        <x:f>COUNTIFS('怪物总表'!$C$6:$C$105,"精英",'怪物总表'!$E$6:$E$105,"&lt;="&amp;A54)</x:f>
        <x:v>20</x:v>
      </x:c>
      <x:c r="G54" s="42" t="n">
        <x:f>C55*'数值推演'!$F$120/(C54*'数值推演'!$K$120)</x:f>
        <x:v>0.6285680541434231</x:v>
      </x:c>
      <x:c r="H54" s="24" t="n">
        <x:f>'数值推演'!F$122</x:f>
        <x:v>4</x:v>
      </x:c>
      <x:c r="I54" s="24" t="n">
        <x:f>'数值推演'!G$122</x:f>
        <x:v>5</x:v>
      </x:c>
      <x:c r="J54" s="24" t="n">
        <x:f>'数值推演'!H$122</x:f>
        <x:v>6</x:v>
      </x:c>
      <x:c r="K54" s="24" t="n">
        <x:f>'数值推演'!I$122</x:f>
        <x:v>7.5</x:v>
      </x:c>
      <x:c r="L54" s="24" t="n">
        <x:f>'数值推演'!J$122</x:f>
        <x:v>9</x:v>
      </x:c>
      <x:c r="M54" s="24" t="n">
        <x:f>'数值推演'!K$122</x:f>
        <x:v>11</x:v>
      </x:c>
    </x:row>
    <x:row r="55" ht="31.5" customHeight="1">
      <x:c r="A55" s="23" t="n">
        <x:v>50</x:v>
      </x:c>
      <x:c r="B55" s="16" t="str">
        <x:v>结晶</x:v>
      </x:c>
      <x:c r="C55" s="37" t="n">
        <x:f>IF(A55=1,'数值推演'!$B$128,'数值推演'!$B$120*POWER('数值推演'!$B$123,(A55-2)/'数值推演'!$B$122))</x:f>
        <x:v>8.346568544586791</x:v>
      </x:c>
      <x:c r="D55" s="37" t="n">
        <x:f>IF(A55=1,'数值推演'!$B$129,'数值推演'!$B$121*POWER('数值推演'!$B$124,(A55-2)/'数值推演'!$B$122))</x:f>
        <x:v>2.5540411096212248</x:v>
      </x:c>
      <x:c r="E55" s="23" t="n">
        <x:f>COUNTIFS('怪物总表'!$C$6:$C$105,"普通",'怪物总表'!$E$6:$E$105,"&lt;="&amp;A55)</x:f>
        <x:v>80</x:v>
      </x:c>
      <x:c r="F55" s="23" t="n">
        <x:f>COUNTIFS('怪物总表'!$C$6:$C$105,"精英",'怪物总表'!$E$6:$E$105,"&lt;="&amp;A55)</x:f>
        <x:v>20</x:v>
      </x:c>
      <x:c r="G55" s="41" t="n">
        <x:f>C56*'数值推演'!$F$120/(C55*'数值推演'!$K$120)</x:f>
        <x:v>0.6285680541434233</x:v>
      </x:c>
      <x:c r="H55" s="23" t="n">
        <x:f>'数值推演'!F$122</x:f>
        <x:v>4</x:v>
      </x:c>
      <x:c r="I55" s="23" t="n">
        <x:f>'数值推演'!G$122</x:f>
        <x:v>5</x:v>
      </x:c>
      <x:c r="J55" s="23" t="n">
        <x:f>'数值推演'!H$122</x:f>
        <x:v>6</x:v>
      </x:c>
      <x:c r="K55" s="23" t="n">
        <x:f>'数值推演'!I$122</x:f>
        <x:v>7.5</x:v>
      </x:c>
      <x:c r="L55" s="23" t="n">
        <x:f>'数值推演'!J$122</x:f>
        <x:v>9</x:v>
      </x:c>
      <x:c r="M55" s="23" t="n">
        <x:f>'数值推演'!K$122</x:f>
        <x:v>11</x:v>
      </x:c>
    </x:row>
    <x:row r="56" ht="31.5" customHeight="1">
      <x:c r="A56" s="24" t="n">
        <x:v>51</x:v>
      </x:c>
      <x:c r="B56" s="14" t="str">
        <x:v>结晶</x:v>
      </x:c>
      <x:c r="C56" s="38" t="n">
        <x:f>IF(A56=1,'数值推演'!$B$128,'数值推演'!$B$120*POWER('数值推演'!$B$123,(A56-2)/'数值推演'!$B$122))</x:f>
        <x:v>8.656537475595279</x:v>
      </x:c>
      <x:c r="D56" s="38" t="n">
        <x:f>IF(A56=1,'数值推演'!$B$129,'数值推演'!$B$121*POWER('数值推演'!$B$124,(A56-2)/'数值推演'!$B$122))</x:f>
        <x:v>2.5936575523111722</x:v>
      </x:c>
      <x:c r="E56" s="24" t="n">
        <x:f>COUNTIFS('怪物总表'!$C$6:$C$105,"普通",'怪物总表'!$E$6:$E$105,"&lt;="&amp;A56)</x:f>
        <x:v>80</x:v>
      </x:c>
      <x:c r="F56" s="24" t="n">
        <x:f>COUNTIFS('怪物总表'!$C$6:$C$105,"精英",'怪物总表'!$E$6:$E$105,"&lt;="&amp;A56)</x:f>
        <x:v>20</x:v>
      </x:c>
      <x:c r="G56" s="42" t="n">
        <x:f>C57*'数值推演'!$F$120/(C56*'数值推演'!$K$120)</x:f>
        <x:v>0.6285680541434229</x:v>
      </x:c>
      <x:c r="H56" s="24" t="n">
        <x:f>'数值推演'!F$122</x:f>
        <x:v>4</x:v>
      </x:c>
      <x:c r="I56" s="24" t="n">
        <x:f>'数值推演'!G$122</x:f>
        <x:v>5</x:v>
      </x:c>
      <x:c r="J56" s="24" t="n">
        <x:f>'数值推演'!H$122</x:f>
        <x:v>6</x:v>
      </x:c>
      <x:c r="K56" s="24" t="n">
        <x:f>'数值推演'!I$122</x:f>
        <x:v>7.5</x:v>
      </x:c>
      <x:c r="L56" s="24" t="n">
        <x:f>'数值推演'!J$122</x:f>
        <x:v>9</x:v>
      </x:c>
      <x:c r="M56" s="24" t="n">
        <x:f>'数值推演'!K$122</x:f>
        <x:v>11</x:v>
      </x:c>
    </x:row>
    <x:row r="57" ht="31.5" customHeight="1">
      <x:c r="A57" s="23" t="n">
        <x:v>52</x:v>
      </x:c>
      <x:c r="B57" s="16" t="str">
        <x:v>幽魂</x:v>
      </x:c>
      <x:c r="C57" s="37" t="n">
        <x:f>IF(A57=1,'数值推演'!$B$128,'数值推演'!$B$120*POWER('数值推演'!$B$123,(A57-2)/'数值推演'!$B$122))</x:f>
        <x:v>8.978017812479996</x:v>
      </x:c>
      <x:c r="D57" s="37" t="n">
        <x:f>IF(A57=1,'数值推演'!$B$129,'数值推演'!$B$121*POWER('数值推演'!$B$124,(A57-2)/'数值推演'!$B$122))</x:f>
        <x:v>2.6338884966728013</x:v>
      </x:c>
      <x:c r="E57" s="23" t="n">
        <x:f>COUNTIFS('怪物总表'!$C$6:$C$105,"普通",'怪物总表'!$E$6:$E$105,"&lt;="&amp;A57)</x:f>
        <x:v>80</x:v>
      </x:c>
      <x:c r="F57" s="23" t="n">
        <x:f>COUNTIFS('怪物总表'!$C$6:$C$105,"精英",'怪物总表'!$E$6:$E$105,"&lt;="&amp;A57)</x:f>
        <x:v>20</x:v>
      </x:c>
      <x:c r="G57" s="41" t="n">
        <x:f>C58*'数值推演'!$F$120/(C57*'数值推演'!$K$120)</x:f>
        <x:v>0.6285680541434231</x:v>
      </x:c>
      <x:c r="H57" s="23" t="n">
        <x:f>'数值推演'!F$122</x:f>
        <x:v>4</x:v>
      </x:c>
      <x:c r="I57" s="23" t="n">
        <x:f>'数值推演'!G$122</x:f>
        <x:v>5</x:v>
      </x:c>
      <x:c r="J57" s="23" t="n">
        <x:f>'数值推演'!H$122</x:f>
        <x:v>6</x:v>
      </x:c>
      <x:c r="K57" s="23" t="n">
        <x:f>'数值推演'!I$122</x:f>
        <x:v>7.5</x:v>
      </x:c>
      <x:c r="L57" s="23" t="n">
        <x:f>'数值推演'!J$122</x:f>
        <x:v>9</x:v>
      </x:c>
      <x:c r="M57" s="23" t="n">
        <x:f>'数值推演'!K$122</x:f>
        <x:v>11</x:v>
      </x:c>
    </x:row>
    <x:row r="58" ht="31.5" customHeight="1">
      <x:c r="A58" s="24" t="n">
        <x:v>53</x:v>
      </x:c>
      <x:c r="B58" s="14" t="str">
        <x:v>幽魂</x:v>
      </x:c>
      <x:c r="C58" s="38" t="n">
        <x:f>IF(A58=1,'数值推演'!$B$128,'数值推演'!$B$120*POWER('数值推演'!$B$123,(A58-2)/'数值推演'!$B$122))</x:f>
        <x:v>9.311437057651645</x:v>
      </x:c>
      <x:c r="D58" s="38" t="n">
        <x:f>IF(A58=1,'数值推演'!$B$129,'数值推演'!$B$121*POWER('数值推演'!$B$124,(A58-2)/'数值推演'!$B$122))</x:f>
        <x:v>2.6747434744126175</x:v>
      </x:c>
      <x:c r="E58" s="24" t="n">
        <x:f>COUNTIFS('怪物总表'!$C$6:$C$105,"普通",'怪物总表'!$E$6:$E$105,"&lt;="&amp;A58)</x:f>
        <x:v>80</x:v>
      </x:c>
      <x:c r="F58" s="24" t="n">
        <x:f>COUNTIFS('怪物总表'!$C$6:$C$105,"精英",'怪物总表'!$E$6:$E$105,"&lt;="&amp;A58)</x:f>
        <x:v>20</x:v>
      </x:c>
      <x:c r="G58" s="42" t="n">
        <x:f>C59*'数值推演'!$F$120/(C58*'数值推演'!$K$120)</x:f>
        <x:v>0.6285680541434233</x:v>
      </x:c>
      <x:c r="H58" s="24" t="n">
        <x:f>'数值推演'!F$122</x:f>
        <x:v>4</x:v>
      </x:c>
      <x:c r="I58" s="24" t="n">
        <x:f>'数值推演'!G$122</x:f>
        <x:v>5</x:v>
      </x:c>
      <x:c r="J58" s="24" t="n">
        <x:f>'数值推演'!H$122</x:f>
        <x:v>6</x:v>
      </x:c>
      <x:c r="K58" s="24" t="n">
        <x:f>'数值推演'!I$122</x:f>
        <x:v>7.5</x:v>
      </x:c>
      <x:c r="L58" s="24" t="n">
        <x:f>'数值推演'!J$122</x:f>
        <x:v>9</x:v>
      </x:c>
      <x:c r="M58" s="24" t="n">
        <x:f>'数值推演'!K$122</x:f>
        <x:v>11</x:v>
      </x:c>
    </x:row>
    <x:row r="59" ht="31.5" customHeight="1">
      <x:c r="A59" s="23" t="n">
        <x:v>54</x:v>
      </x:c>
      <x:c r="B59" s="16" t="str">
        <x:v>幽魂</x:v>
      </x:c>
      <x:c r="C59" s="37" t="n">
        <x:f>IF(A59=1,'数值推演'!$B$128,'数值推演'!$B$120*POWER('数值推演'!$B$123,(A59-2)/'数值推演'!$B$122))</x:f>
        <x:v>9.657238589801644</x:v>
      </x:c>
      <x:c r="D59" s="37" t="n">
        <x:f>IF(A59=1,'数值推演'!$B$129,'数值推演'!$B$121*POWER('数值推演'!$B$124,(A59-2)/'数值推演'!$B$122))</x:f>
        <x:v>2.716232165086079</x:v>
      </x:c>
      <x:c r="E59" s="23" t="n">
        <x:f>COUNTIFS('怪物总表'!$C$6:$C$105,"普通",'怪物总表'!$E$6:$E$105,"&lt;="&amp;A59)</x:f>
        <x:v>80</x:v>
      </x:c>
      <x:c r="F59" s="23" t="n">
        <x:f>COUNTIFS('怪物总表'!$C$6:$C$105,"精英",'怪物总表'!$E$6:$E$105,"&lt;="&amp;A59)</x:f>
        <x:v>20</x:v>
      </x:c>
      <x:c r="G59" s="41" t="n">
        <x:f>C60*'数值推演'!$F$120/(C59*'数值推演'!$K$120)</x:f>
        <x:v>0.628568054143423</x:v>
      </x:c>
      <x:c r="H59" s="23" t="n">
        <x:f>'数值推演'!F$122</x:f>
        <x:v>4</x:v>
      </x:c>
      <x:c r="I59" s="23" t="n">
        <x:f>'数值推演'!G$122</x:f>
        <x:v>5</x:v>
      </x:c>
      <x:c r="J59" s="23" t="n">
        <x:f>'数值推演'!H$122</x:f>
        <x:v>6</x:v>
      </x:c>
      <x:c r="K59" s="23" t="n">
        <x:f>'数值推演'!I$122</x:f>
        <x:v>7.5</x:v>
      </x:c>
      <x:c r="L59" s="23" t="n">
        <x:f>'数值推演'!J$122</x:f>
        <x:v>9</x:v>
      </x:c>
      <x:c r="M59" s="23" t="n">
        <x:f>'数值推演'!K$122</x:f>
        <x:v>11</x:v>
      </x:c>
    </x:row>
    <x:row r="60" ht="31.5" customHeight="1">
      <x:c r="A60" s="24" t="n">
        <x:v>55</x:v>
      </x:c>
      <x:c r="B60" s="14" t="str">
        <x:v>血肉</x:v>
      </x:c>
      <x:c r="C60" s="38" t="n">
        <x:f>IF(A60=1,'数值推演'!$B$128,'数值推演'!$B$120*POWER('数值推演'!$B$123,(A60-2)/'数值推演'!$B$122))</x:f>
        <x:v>10.015882253504149</x:v>
      </x:c>
      <x:c r="D60" s="38" t="n">
        <x:f>IF(A60=1,'数值推演'!$B$129,'数值推演'!$B$121*POWER('数值推演'!$B$124,(A60-2)/'数值推演'!$B$122))</x:f>
        <x:v>2.7583643983909227</x:v>
      </x:c>
      <x:c r="E60" s="24" t="n">
        <x:f>COUNTIFS('怪物总表'!$C$6:$C$105,"普通",'怪物总表'!$E$6:$E$105,"&lt;="&amp;A60)</x:f>
        <x:v>80</x:v>
      </x:c>
      <x:c r="F60" s="24" t="n">
        <x:f>COUNTIFS('怪物总表'!$C$6:$C$105,"精英",'怪物总表'!$E$6:$E$105,"&lt;="&amp;A60)</x:f>
        <x:v>20</x:v>
      </x:c>
      <x:c r="G60" s="42" t="n">
        <x:f>C61*'数值推演'!$F$120/(C60*'数值推演'!$K$120)</x:f>
        <x:v>0.6285680541434232</x:v>
      </x:c>
      <x:c r="H60" s="24" t="n">
        <x:f>'数值推演'!F$122</x:f>
        <x:v>4</x:v>
      </x:c>
      <x:c r="I60" s="24" t="n">
        <x:f>'数值推演'!G$122</x:f>
        <x:v>5</x:v>
      </x:c>
      <x:c r="J60" s="24" t="n">
        <x:f>'数值推演'!H$122</x:f>
        <x:v>6</x:v>
      </x:c>
      <x:c r="K60" s="24" t="n">
        <x:f>'数值推演'!I$122</x:f>
        <x:v>7.5</x:v>
      </x:c>
      <x:c r="L60" s="24" t="n">
        <x:f>'数值推演'!J$122</x:f>
        <x:v>9</x:v>
      </x:c>
      <x:c r="M60" s="24" t="n">
        <x:f>'数值推演'!K$122</x:f>
        <x:v>11</x:v>
      </x:c>
    </x:row>
    <x:row r="61" ht="31.5" customHeight="1">
      <x:c r="A61" s="23" t="n">
        <x:v>56</x:v>
      </x:c>
      <x:c r="B61" s="16" t="str">
        <x:v>血肉</x:v>
      </x:c>
      <x:c r="C61" s="37" t="n">
        <x:f>IF(A61=1,'数值推演'!$B$128,'数值推演'!$B$120*POWER('数值推演'!$B$123,(A61-2)/'数值推演'!$B$122))</x:f>
        <x:v>10.387844970714333</x:v>
      </x:c>
      <x:c r="D61" s="37" t="n">
        <x:f>IF(A61=1,'数值推演'!$B$129,'数值推演'!$B$121*POWER('数值推演'!$B$124,(A61-2)/'数值推演'!$B$122))</x:f>
        <x:v>2.8011501564960666</x:v>
      </x:c>
      <x:c r="E61" s="23" t="n">
        <x:f>COUNTIFS('怪物总表'!$C$6:$C$105,"普通",'怪物总表'!$E$6:$E$105,"&lt;="&amp;A61)</x:f>
        <x:v>80</x:v>
      </x:c>
      <x:c r="F61" s="23" t="n">
        <x:f>COUNTIFS('怪物总表'!$C$6:$C$105,"精英",'怪物总表'!$E$6:$E$105,"&lt;="&amp;A61)</x:f>
        <x:v>20</x:v>
      </x:c>
      <x:c r="G61" s="41" t="n">
        <x:f>C62*'数值推演'!$F$120/(C61*'数值推演'!$K$120)</x:f>
        <x:v>0.6285680541434231</x:v>
      </x:c>
      <x:c r="H61" s="23" t="n">
        <x:f>'数值推演'!F$122</x:f>
        <x:v>4</x:v>
      </x:c>
      <x:c r="I61" s="23" t="n">
        <x:f>'数值推演'!G$122</x:f>
        <x:v>5</x:v>
      </x:c>
      <x:c r="J61" s="23" t="n">
        <x:f>'数值推演'!H$122</x:f>
        <x:v>6</x:v>
      </x:c>
      <x:c r="K61" s="23" t="n">
        <x:f>'数值推演'!I$122</x:f>
        <x:v>7.5</x:v>
      </x:c>
      <x:c r="L61" s="23" t="n">
        <x:f>'数值推演'!J$122</x:f>
        <x:v>9</x:v>
      </x:c>
      <x:c r="M61" s="23" t="n">
        <x:f>'数值推演'!K$122</x:f>
        <x:v>11</x:v>
      </x:c>
    </x:row>
    <x:row r="62" ht="31.5" customHeight="1">
      <x:c r="A62" s="24" t="n">
        <x:v>57</x:v>
      </x:c>
      <x:c r="B62" s="14" t="str">
        <x:v>血肉</x:v>
      </x:c>
      <x:c r="C62" s="38" t="n">
        <x:f>IF(A62=1,'数值推演'!$B$128,'数值推演'!$B$120*POWER('数值推演'!$B$123,(A62-2)/'数值推演'!$B$122))</x:f>
        <x:v>10.773621374975995</x:v>
      </x:c>
      <x:c r="D62" s="38" t="n">
        <x:f>IF(A62=1,'数值推演'!$B$129,'数值推演'!$B$121*POWER('数值推演'!$B$124,(A62-2)/'数值推演'!$B$122))</x:f>
        <x:v>2.8445995764066256</x:v>
      </x:c>
      <x:c r="E62" s="24" t="n">
        <x:f>COUNTIFS('怪物总表'!$C$6:$C$105,"普通",'怪物总表'!$E$6:$E$105,"&lt;="&amp;A62)</x:f>
        <x:v>80</x:v>
      </x:c>
      <x:c r="F62" s="24" t="n">
        <x:f>COUNTIFS('怪物总表'!$C$6:$C$105,"精英",'怪物总表'!$E$6:$E$105,"&lt;="&amp;A62)</x:f>
        <x:v>20</x:v>
      </x:c>
      <x:c r="G62" s="42" t="n">
        <x:f>C63*'数值推演'!$F$120/(C62*'数值推演'!$K$120)</x:f>
        <x:v>0.6285680541434229</x:v>
      </x:c>
      <x:c r="H62" s="24" t="n">
        <x:f>'数值推演'!F$122</x:f>
        <x:v>4</x:v>
      </x:c>
      <x:c r="I62" s="24" t="n">
        <x:f>'数值推演'!G$122</x:f>
        <x:v>5</x:v>
      </x:c>
      <x:c r="J62" s="24" t="n">
        <x:f>'数值推演'!H$122</x:f>
        <x:v>6</x:v>
      </x:c>
      <x:c r="K62" s="24" t="n">
        <x:f>'数值推演'!I$122</x:f>
        <x:v>7.5</x:v>
      </x:c>
      <x:c r="L62" s="24" t="n">
        <x:f>'数值推演'!J$122</x:f>
        <x:v>9</x:v>
      </x:c>
      <x:c r="M62" s="24" t="n">
        <x:f>'数值推演'!K$122</x:f>
        <x:v>11</x:v>
      </x:c>
    </x:row>
    <x:row r="63" ht="31.5" customHeight="1">
      <x:c r="A63" s="23" t="n">
        <x:v>58</x:v>
      </x:c>
      <x:c r="B63" s="16" t="str">
        <x:v>结晶</x:v>
      </x:c>
      <x:c r="C63" s="37" t="n">
        <x:f>IF(A63=1,'数值推演'!$B$128,'数值推演'!$B$120*POWER('数值推演'!$B$123,(A63-2)/'数值推演'!$B$122))</x:f>
        <x:v>11.173724469181973</x:v>
      </x:c>
      <x:c r="D63" s="37" t="n">
        <x:f>IF(A63=1,'数值推演'!$B$129,'数值推演'!$B$121*POWER('数值推演'!$B$124,(A63-2)/'数值推演'!$B$122))</x:f>
        <x:v>2.888722952365627</x:v>
      </x:c>
      <x:c r="E63" s="23" t="n">
        <x:f>COUNTIFS('怪物总表'!$C$6:$C$105,"普通",'怪物总表'!$E$6:$E$105,"&lt;="&amp;A63)</x:f>
        <x:v>80</x:v>
      </x:c>
      <x:c r="F63" s="23" t="n">
        <x:f>COUNTIFS('怪物总表'!$C$6:$C$105,"精英",'怪物总表'!$E$6:$E$105,"&lt;="&amp;A63)</x:f>
        <x:v>20</x:v>
      </x:c>
      <x:c r="G63" s="41" t="n">
        <x:f>C64*'数值推演'!$F$120/(C63*'数值推演'!$K$120)</x:f>
        <x:v>0.6285680541434232</x:v>
      </x:c>
      <x:c r="H63" s="23" t="n">
        <x:f>'数值推演'!F$122</x:f>
        <x:v>4</x:v>
      </x:c>
      <x:c r="I63" s="23" t="n">
        <x:f>'数值推演'!G$122</x:f>
        <x:v>5</x:v>
      </x:c>
      <x:c r="J63" s="23" t="n">
        <x:f>'数值推演'!H$122</x:f>
        <x:v>6</x:v>
      </x:c>
      <x:c r="K63" s="23" t="n">
        <x:f>'数值推演'!I$122</x:f>
        <x:v>7.5</x:v>
      </x:c>
      <x:c r="L63" s="23" t="n">
        <x:f>'数值推演'!J$122</x:f>
        <x:v>9</x:v>
      </x:c>
      <x:c r="M63" s="23" t="n">
        <x:f>'数值推演'!K$122</x:f>
        <x:v>11</x:v>
      </x:c>
    </x:row>
    <x:row r="64" ht="31.5" customHeight="1">
      <x:c r="A64" s="24" t="n">
        <x:v>59</x:v>
      </x:c>
      <x:c r="B64" s="14" t="str">
        <x:v>结晶</x:v>
      </x:c>
      <x:c r="C64" s="38" t="n">
        <x:f>IF(A64=1,'数值推演'!$B$128,'数值推演'!$B$120*POWER('数值推演'!$B$123,(A64-2)/'数值推演'!$B$122))</x:f>
        <x:v>11.588686307761972</x:v>
      </x:c>
      <x:c r="D64" s="38" t="n">
        <x:f>IF(A64=1,'数值推演'!$B$129,'数值推演'!$B$121*POWER('数值推演'!$B$124,(A64-2)/'数值推演'!$B$122))</x:f>
        <x:v>2.933530738292965</x:v>
      </x:c>
      <x:c r="E64" s="24" t="n">
        <x:f>COUNTIFS('怪物总表'!$C$6:$C$105,"普通",'怪物总表'!$E$6:$E$105,"&lt;="&amp;A64)</x:f>
        <x:v>80</x:v>
      </x:c>
      <x:c r="F64" s="24" t="n">
        <x:f>COUNTIFS('怪物总表'!$C$6:$C$105,"精英",'怪物总表'!$E$6:$E$105,"&lt;="&amp;A64)</x:f>
        <x:v>20</x:v>
      </x:c>
      <x:c r="G64" s="42" t="n">
        <x:f>C65*'数值推演'!$F$120/(C64*'数值推演'!$K$120)</x:f>
        <x:v>0.628568054143423</x:v>
      </x:c>
      <x:c r="H64" s="24" t="n">
        <x:f>'数值推演'!F$122</x:f>
        <x:v>4</x:v>
      </x:c>
      <x:c r="I64" s="24" t="n">
        <x:f>'数值推演'!G$122</x:f>
        <x:v>5</x:v>
      </x:c>
      <x:c r="J64" s="24" t="n">
        <x:f>'数值推演'!H$122</x:f>
        <x:v>6</x:v>
      </x:c>
      <x:c r="K64" s="24" t="n">
        <x:f>'数值推演'!I$122</x:f>
        <x:v>7.5</x:v>
      </x:c>
      <x:c r="L64" s="24" t="n">
        <x:f>'数值推演'!J$122</x:f>
        <x:v>9</x:v>
      </x:c>
      <x:c r="M64" s="24" t="n">
        <x:f>'数值推演'!K$122</x:f>
        <x:v>11</x:v>
      </x:c>
    </x:row>
    <x:row r="65" ht="31.5" customHeight="1">
      <x:c r="A65" s="23" t="n">
        <x:v>60</x:v>
      </x:c>
      <x:c r="B65" s="16" t="str">
        <x:v>结晶</x:v>
      </x:c>
      <x:c r="C65" s="37" t="n">
        <x:f>IF(A65=1,'数值推演'!$B$128,'数值推演'!$B$120*POWER('数值推演'!$B$123,(A65-2)/'数值推演'!$B$122))</x:f>
        <x:v>12.019058704204978</x:v>
      </x:c>
      <x:c r="D65" s="37" t="n">
        <x:f>IF(A65=1,'数值推演'!$B$129,'数值推演'!$B$121*POWER('数值推演'!$B$124,(A65-2)/'数值推演'!$B$122))</x:f>
        <x:v>2.9790335502621965</x:v>
      </x:c>
      <x:c r="E65" s="23" t="n">
        <x:f>COUNTIFS('怪物总表'!$C$6:$C$105,"普通",'怪物总表'!$E$6:$E$105,"&lt;="&amp;A65)</x:f>
        <x:v>80</x:v>
      </x:c>
      <x:c r="F65" s="23" t="n">
        <x:f>COUNTIFS('怪物总表'!$C$6:$C$105,"精英",'怪物总表'!$E$6:$E$105,"&lt;="&amp;A65)</x:f>
        <x:v>20</x:v>
      </x:c>
      <x:c r="G65" s="41" t="n">
        <x:f>C66*'数值推演'!$F$120/(C65*'数值推演'!$K$120)</x:f>
        <x:v>0.6285680541434232</x:v>
      </x:c>
      <x:c r="H65" s="23" t="n">
        <x:f>'数值推演'!F$122</x:f>
        <x:v>4</x:v>
      </x:c>
      <x:c r="I65" s="23" t="n">
        <x:f>'数值推演'!G$122</x:f>
        <x:v>5</x:v>
      </x:c>
      <x:c r="J65" s="23" t="n">
        <x:f>'数值推演'!H$122</x:f>
        <x:v>6</x:v>
      </x:c>
      <x:c r="K65" s="23" t="n">
        <x:f>'数值推演'!I$122</x:f>
        <x:v>7.5</x:v>
      </x:c>
      <x:c r="L65" s="23" t="n">
        <x:f>'数值推演'!J$122</x:f>
        <x:v>9</x:v>
      </x:c>
      <x:c r="M65" s="23" t="n">
        <x:f>'数值推演'!K$122</x:f>
        <x:v>11</x:v>
      </x:c>
    </x:row>
    <x:row r="66" ht="31.5" customHeight="1">
      <x:c r="A66" s="24" t="n">
        <x:v>61</x:v>
      </x:c>
      <x:c r="B66" s="14" t="str">
        <x:v>幽魂</x:v>
      </x:c>
      <x:c r="C66" s="38" t="n">
        <x:f>IF(A66=1,'数值推演'!$B$128,'数值推演'!$B$120*POWER('数值推演'!$B$123,(A66-2)/'数值推演'!$B$122))</x:f>
        <x:v>12.4654139648572</x:v>
      </x:c>
      <x:c r="D66" s="38" t="n">
        <x:f>IF(A66=1,'数值推演'!$B$129,'数值推演'!$B$121*POWER('数值推演'!$B$124,(A66-2)/'数值推演'!$B$122))</x:f>
        <x:v>3.0252421690157516</x:v>
      </x:c>
      <x:c r="E66" s="24" t="n">
        <x:f>COUNTIFS('怪物总表'!$C$6:$C$105,"普通",'怪物总表'!$E$6:$E$105,"&lt;="&amp;A66)</x:f>
        <x:v>80</x:v>
      </x:c>
      <x:c r="F66" s="24" t="n">
        <x:f>COUNTIFS('怪物总表'!$C$6:$C$105,"精英",'怪物总表'!$E$6:$E$105,"&lt;="&amp;A66)</x:f>
        <x:v>20</x:v>
      </x:c>
      <x:c r="G66" s="42" t="n">
        <x:f>C67*'数值推演'!$F$120/(C66*'数值推演'!$K$120)</x:f>
        <x:v>0.628568054143423</x:v>
      </x:c>
      <x:c r="H66" s="24" t="n">
        <x:f>'数值推演'!F$122</x:f>
        <x:v>4</x:v>
      </x:c>
      <x:c r="I66" s="24" t="n">
        <x:f>'数值推演'!G$122</x:f>
        <x:v>5</x:v>
      </x:c>
      <x:c r="J66" s="24" t="n">
        <x:f>'数值推演'!H$122</x:f>
        <x:v>6</x:v>
      </x:c>
      <x:c r="K66" s="24" t="n">
        <x:f>'数值推演'!I$122</x:f>
        <x:v>7.5</x:v>
      </x:c>
      <x:c r="L66" s="24" t="n">
        <x:f>'数值推演'!J$122</x:f>
        <x:v>9</x:v>
      </x:c>
      <x:c r="M66" s="24" t="n">
        <x:f>'数值推演'!K$122</x:f>
        <x:v>11</x:v>
      </x:c>
    </x:row>
    <x:row r="67" ht="31.5" customHeight="1">
      <x:c r="A67" s="23" t="n">
        <x:v>62</x:v>
      </x:c>
      <x:c r="B67" s="16" t="str">
        <x:v>幽魂</x:v>
      </x:c>
      <x:c r="C67" s="37" t="n">
        <x:f>IF(A67=1,'数值推演'!$B$128,'数值推演'!$B$120*POWER('数值推演'!$B$123,(A67-2)/'数值推演'!$B$122))</x:f>
        <x:v>12.928345649971194</x:v>
      </x:c>
      <x:c r="D67" s="37" t="n">
        <x:f>IF(A67=1,'数值推演'!$B$129,'数值推演'!$B$121*POWER('数值推演'!$B$124,(A67-2)/'数值推演'!$B$122))</x:f>
        <x:v>3.0721675425191557</x:v>
      </x:c>
      <x:c r="E67" s="23" t="n">
        <x:f>COUNTIFS('怪物总表'!$C$6:$C$105,"普通",'怪物总表'!$E$6:$E$105,"&lt;="&amp;A67)</x:f>
        <x:v>80</x:v>
      </x:c>
      <x:c r="F67" s="23" t="n">
        <x:f>COUNTIFS('怪物总表'!$C$6:$C$105,"精英",'怪物总表'!$E$6:$E$105,"&lt;="&amp;A67)</x:f>
        <x:v>20</x:v>
      </x:c>
      <x:c r="G67" s="41" t="n">
        <x:f>C68*'数值推演'!$F$120/(C67*'数值推演'!$K$120)</x:f>
        <x:v>0.628568054143423</x:v>
      </x:c>
      <x:c r="H67" s="23" t="n">
        <x:f>'数值推演'!F$122</x:f>
        <x:v>4</x:v>
      </x:c>
      <x:c r="I67" s="23" t="n">
        <x:f>'数值推演'!G$122</x:f>
        <x:v>5</x:v>
      </x:c>
      <x:c r="J67" s="23" t="n">
        <x:f>'数值推演'!H$122</x:f>
        <x:v>6</x:v>
      </x:c>
      <x:c r="K67" s="23" t="n">
        <x:f>'数值推演'!I$122</x:f>
        <x:v>7.5</x:v>
      </x:c>
      <x:c r="L67" s="23" t="n">
        <x:f>'数值推演'!J$122</x:f>
        <x:v>9</x:v>
      </x:c>
      <x:c r="M67" s="23" t="n">
        <x:f>'数值推演'!K$122</x:f>
        <x:v>11</x:v>
      </x:c>
    </x:row>
    <x:row r="68" ht="31.5" customHeight="1">
      <x:c r="A68" s="24" t="n">
        <x:v>63</x:v>
      </x:c>
      <x:c r="B68" s="14" t="str">
        <x:v>幽魂</x:v>
      </x:c>
      <x:c r="C68" s="38" t="n">
        <x:f>IF(A68=1,'数值推演'!$B$128,'数值推演'!$B$120*POWER('数值推演'!$B$123,(A68-2)/'数值推演'!$B$122))</x:f>
        <x:v>13.408469363018368</x:v>
      </x:c>
      <x:c r="D68" s="38" t="n">
        <x:f>IF(A68=1,'数值推演'!$B$129,'数值推演'!$B$121*POWER('数值推演'!$B$124,(A68-2)/'数值推演'!$B$122))</x:f>
        <x:v>3.119820788554877</x:v>
      </x:c>
      <x:c r="E68" s="24" t="n">
        <x:f>COUNTIFS('怪物总表'!$C$6:$C$105,"普通",'怪物总表'!$E$6:$E$105,"&lt;="&amp;A68)</x:f>
        <x:v>80</x:v>
      </x:c>
      <x:c r="F68" s="24" t="n">
        <x:f>COUNTIFS('怪物总表'!$C$6:$C$105,"精英",'怪物总表'!$E$6:$E$105,"&lt;="&amp;A68)</x:f>
        <x:v>20</x:v>
      </x:c>
      <x:c r="G68" s="42" t="n">
        <x:f>C69*'数值推演'!$F$120/(C68*'数值推演'!$K$120)</x:f>
        <x:v>0.6285680541434232</x:v>
      </x:c>
      <x:c r="H68" s="24" t="n">
        <x:f>'数值推演'!F$122</x:f>
        <x:v>4</x:v>
      </x:c>
      <x:c r="I68" s="24" t="n">
        <x:f>'数值推演'!G$122</x:f>
        <x:v>5</x:v>
      </x:c>
      <x:c r="J68" s="24" t="n">
        <x:f>'数值推演'!H$122</x:f>
        <x:v>6</x:v>
      </x:c>
      <x:c r="K68" s="24" t="n">
        <x:f>'数值推演'!I$122</x:f>
        <x:v>7.5</x:v>
      </x:c>
      <x:c r="L68" s="24" t="n">
        <x:f>'数值推演'!J$122</x:f>
        <x:v>9</x:v>
      </x:c>
      <x:c r="M68" s="24" t="n">
        <x:f>'数值推演'!K$122</x:f>
        <x:v>11</x:v>
      </x:c>
    </x:row>
    <x:row r="69" ht="31.5" customHeight="1">
      <x:c r="A69" s="23" t="n">
        <x:v>64</x:v>
      </x:c>
      <x:c r="B69" s="16" t="str">
        <x:v>血肉</x:v>
      </x:c>
      <x:c r="C69" s="37" t="n">
        <x:f>IF(A69=1,'数值推演'!$B$128,'数值推演'!$B$120*POWER('数值推演'!$B$123,(A69-2)/'数值推演'!$B$122))</x:f>
        <x:v>13.906423569314365</x:v>
      </x:c>
      <x:c r="D69" s="37" t="n">
        <x:f>IF(A69=1,'数值推演'!$B$129,'数值推演'!$B$121*POWER('数值推演'!$B$124,(A69-2)/'数值推演'!$B$122))</x:f>
        <x:v>3.1682131973564025</x:v>
      </x:c>
      <x:c r="E69" s="23" t="n">
        <x:f>COUNTIFS('怪物总表'!$C$6:$C$105,"普通",'怪物总表'!$E$6:$E$105,"&lt;="&amp;A69)</x:f>
        <x:v>80</x:v>
      </x:c>
      <x:c r="F69" s="23" t="n">
        <x:f>COUNTIFS('怪物总表'!$C$6:$C$105,"精英",'怪物总表'!$E$6:$E$105,"&lt;="&amp;A69)</x:f>
        <x:v>20</x:v>
      </x:c>
      <x:c r="G69" s="41" t="n">
        <x:f>C70*'数值推演'!$F$120/(C69*'数值推演'!$K$120)</x:f>
        <x:v>0.6285680541434231</x:v>
      </x:c>
      <x:c r="H69" s="23" t="n">
        <x:f>'数值推演'!F$122</x:f>
        <x:v>4</x:v>
      </x:c>
      <x:c r="I69" s="23" t="n">
        <x:f>'数值推演'!G$122</x:f>
        <x:v>5</x:v>
      </x:c>
      <x:c r="J69" s="23" t="n">
        <x:f>'数值推演'!H$122</x:f>
        <x:v>6</x:v>
      </x:c>
      <x:c r="K69" s="23" t="n">
        <x:f>'数值推演'!I$122</x:f>
        <x:v>7.5</x:v>
      </x:c>
      <x:c r="L69" s="23" t="n">
        <x:f>'数值推演'!J$122</x:f>
        <x:v>9</x:v>
      </x:c>
      <x:c r="M69" s="23" t="n">
        <x:f>'数值推演'!K$122</x:f>
        <x:v>11</x:v>
      </x:c>
    </x:row>
    <x:row r="70" ht="31.5" customHeight="1">
      <x:c r="A70" s="24" t="n">
        <x:v>65</x:v>
      </x:c>
      <x:c r="B70" s="14" t="str">
        <x:v>血肉</x:v>
      </x:c>
      <x:c r="C70" s="38" t="n">
        <x:f>IF(A70=1,'数值推演'!$B$128,'数值推演'!$B$120*POWER('数值推演'!$B$123,(A70-2)/'数值推演'!$B$122))</x:f>
        <x:v>14.422870445045975</x:v>
      </x:c>
      <x:c r="D70" s="38" t="n">
        <x:f>IF(A70=1,'数值推演'!$B$129,'数值推演'!$B$121*POWER('数值推演'!$B$124,(A70-2)/'数值推演'!$B$122))</x:f>
        <x:v>3.2173562342831725</x:v>
      </x:c>
      <x:c r="E70" s="24" t="n">
        <x:f>COUNTIFS('怪物总表'!$C$6:$C$105,"普通",'怪物总表'!$E$6:$E$105,"&lt;="&amp;A70)</x:f>
        <x:v>80</x:v>
      </x:c>
      <x:c r="F70" s="24" t="n">
        <x:f>COUNTIFS('怪物总表'!$C$6:$C$105,"精英",'怪物总表'!$E$6:$E$105,"&lt;="&amp;A70)</x:f>
        <x:v>20</x:v>
      </x:c>
      <x:c r="G70" s="42" t="n">
        <x:f>C71*'数值推演'!$F$120/(C70*'数值推演'!$K$120)</x:f>
        <x:v>0.6285680541434231</x:v>
      </x:c>
      <x:c r="H70" s="24" t="n">
        <x:f>'数值推演'!F$122</x:f>
        <x:v>4</x:v>
      </x:c>
      <x:c r="I70" s="24" t="n">
        <x:f>'数值推演'!G$122</x:f>
        <x:v>5</x:v>
      </x:c>
      <x:c r="J70" s="24" t="n">
        <x:f>'数值推演'!H$122</x:f>
        <x:v>6</x:v>
      </x:c>
      <x:c r="K70" s="24" t="n">
        <x:f>'数值推演'!I$122</x:f>
        <x:v>7.5</x:v>
      </x:c>
      <x:c r="L70" s="24" t="n">
        <x:f>'数值推演'!J$122</x:f>
        <x:v>9</x:v>
      </x:c>
      <x:c r="M70" s="24" t="n">
        <x:f>'数值推演'!K$122</x:f>
        <x:v>11</x:v>
      </x:c>
    </x:row>
    <x:row r="71" ht="31.5" customHeight="1">
      <x:c r="A71" s="23" t="n">
        <x:v>66</x:v>
      </x:c>
      <x:c r="B71" s="16" t="str">
        <x:v>血肉</x:v>
      </x:c>
      <x:c r="C71" s="37" t="n">
        <x:f>IF(A71=1,'数值推演'!$B$128,'数值推演'!$B$120*POWER('数值推演'!$B$123,(A71-2)/'数值推演'!$B$122))</x:f>
        <x:v>14.95849675782864</x:v>
      </x:c>
      <x:c r="D71" s="37" t="n">
        <x:f>IF(A71=1,'数值推演'!$B$129,'数值推演'!$B$121*POWER('数值推演'!$B$124,(A71-2)/'数值推演'!$B$122))</x:f>
        <x:v>3.2672615425370126</x:v>
      </x:c>
      <x:c r="E71" s="23" t="n">
        <x:f>COUNTIFS('怪物总表'!$C$6:$C$105,"普通",'怪物总表'!$E$6:$E$105,"&lt;="&amp;A71)</x:f>
        <x:v>80</x:v>
      </x:c>
      <x:c r="F71" s="23" t="n">
        <x:f>COUNTIFS('怪物总表'!$C$6:$C$105,"精英",'怪物总表'!$E$6:$E$105,"&lt;="&amp;A71)</x:f>
        <x:v>20</x:v>
      </x:c>
      <x:c r="G71" s="41" t="n">
        <x:f>C72*'数值推演'!$F$120/(C71*'数值推演'!$K$120)</x:f>
        <x:v>0.6285680541434231</x:v>
      </x:c>
      <x:c r="H71" s="23" t="n">
        <x:f>'数值推演'!F$122</x:f>
        <x:v>4</x:v>
      </x:c>
      <x:c r="I71" s="23" t="n">
        <x:f>'数值推演'!G$122</x:f>
        <x:v>5</x:v>
      </x:c>
      <x:c r="J71" s="23" t="n">
        <x:f>'数值推演'!H$122</x:f>
        <x:v>6</x:v>
      </x:c>
      <x:c r="K71" s="23" t="n">
        <x:f>'数值推演'!I$122</x:f>
        <x:v>7.5</x:v>
      </x:c>
      <x:c r="L71" s="23" t="n">
        <x:f>'数值推演'!J$122</x:f>
        <x:v>9</x:v>
      </x:c>
      <x:c r="M71" s="23" t="n">
        <x:f>'数值推演'!K$122</x:f>
        <x:v>11</x:v>
      </x:c>
    </x:row>
    <x:row r="72" ht="31.5" customHeight="1">
      <x:c r="A72" s="24" t="n">
        <x:v>67</x:v>
      </x:c>
      <x:c r="B72" s="14" t="str">
        <x:v>结晶</x:v>
      </x:c>
      <x:c r="C72" s="38" t="n">
        <x:f>IF(A72=1,'数值推演'!$B$128,'数值推演'!$B$120*POWER('数值推演'!$B$123,(A72-2)/'数值推演'!$B$122))</x:f>
        <x:v>15.514014779965432</x:v>
      </x:c>
      <x:c r="D72" s="38" t="n">
        <x:f>IF(A72=1,'数值推演'!$B$129,'数值推演'!$B$121*POWER('数值推演'!$B$124,(A72-2)/'数值推演'!$B$122))</x:f>
        <x:v>3.317940945920689</x:v>
      </x:c>
      <x:c r="E72" s="24" t="n">
        <x:f>COUNTIFS('怪物总表'!$C$6:$C$105,"普通",'怪物总表'!$E$6:$E$105,"&lt;="&amp;A72)</x:f>
        <x:v>80</x:v>
      </x:c>
      <x:c r="F72" s="24" t="n">
        <x:f>COUNTIFS('怪物总表'!$C$6:$C$105,"精英",'怪物总表'!$E$6:$E$105,"&lt;="&amp;A72)</x:f>
        <x:v>20</x:v>
      </x:c>
      <x:c r="G72" s="42" t="n">
        <x:f>C73*'数值推演'!$F$120/(C72*'数值推演'!$K$120)</x:f>
        <x:v>0.628568054143423</x:v>
      </x:c>
      <x:c r="H72" s="24" t="n">
        <x:f>'数值推演'!F$122</x:f>
        <x:v>4</x:v>
      </x:c>
      <x:c r="I72" s="24" t="n">
        <x:f>'数值推演'!G$122</x:f>
        <x:v>5</x:v>
      </x:c>
      <x:c r="J72" s="24" t="n">
        <x:f>'数值推演'!H$122</x:f>
        <x:v>6</x:v>
      </x:c>
      <x:c r="K72" s="24" t="n">
        <x:f>'数值推演'!I$122</x:f>
        <x:v>7.5</x:v>
      </x:c>
      <x:c r="L72" s="24" t="n">
        <x:f>'数值推演'!J$122</x:f>
        <x:v>9</x:v>
      </x:c>
      <x:c r="M72" s="24" t="n">
        <x:f>'数值推演'!K$122</x:f>
        <x:v>11</x:v>
      </x:c>
    </x:row>
    <x:row r="73" ht="31.5" customHeight="1">
      <x:c r="A73" s="23" t="n">
        <x:v>68</x:v>
      </x:c>
      <x:c r="B73" s="16" t="str">
        <x:v>结晶</x:v>
      </x:c>
      <x:c r="C73" s="37" t="n">
        <x:f>IF(A73=1,'数值推演'!$B$128,'数值推演'!$B$120*POWER('数值推演'!$B$123,(A73-2)/'数值推演'!$B$122))</x:f>
        <x:v>16.09016323562204</x:v>
      </x:c>
      <x:c r="D73" s="37" t="n">
        <x:f>IF(A73=1,'数值推演'!$B$129,'数值推演'!$B$121*POWER('数值推演'!$B$124,(A73-2)/'数值推演'!$B$122))</x:f>
        <x:v>3.3694064516392674</x:v>
      </x:c>
      <x:c r="E73" s="23" t="n">
        <x:f>COUNTIFS('怪物总表'!$C$6:$C$105,"普通",'怪物总表'!$E$6:$E$105,"&lt;="&amp;A73)</x:f>
        <x:v>80</x:v>
      </x:c>
      <x:c r="F73" s="23" t="n">
        <x:f>COUNTIFS('怪物总表'!$C$6:$C$105,"精英",'怪物总表'!$E$6:$E$105,"&lt;="&amp;A73)</x:f>
        <x:v>20</x:v>
      </x:c>
      <x:c r="G73" s="41" t="n">
        <x:f>C74*'数值推演'!$F$120/(C73*'数值推演'!$K$120)</x:f>
        <x:v>0.6285680541434232</x:v>
      </x:c>
      <x:c r="H73" s="23" t="n">
        <x:f>'数值推演'!F$122</x:f>
        <x:v>4</x:v>
      </x:c>
      <x:c r="I73" s="23" t="n">
        <x:f>'数值推演'!G$122</x:f>
        <x:v>5</x:v>
      </x:c>
      <x:c r="J73" s="23" t="n">
        <x:f>'数值推演'!H$122</x:f>
        <x:v>6</x:v>
      </x:c>
      <x:c r="K73" s="23" t="n">
        <x:f>'数值推演'!I$122</x:f>
        <x:v>7.5</x:v>
      </x:c>
      <x:c r="L73" s="23" t="n">
        <x:f>'数值推演'!J$122</x:f>
        <x:v>9</x:v>
      </x:c>
      <x:c r="M73" s="23" t="n">
        <x:f>'数值推演'!K$122</x:f>
        <x:v>11</x:v>
      </x:c>
    </x:row>
    <x:row r="74" ht="31.5" customHeight="1">
      <x:c r="A74" s="24" t="n">
        <x:v>69</x:v>
      </x:c>
      <x:c r="B74" s="14" t="str">
        <x:v>结晶</x:v>
      </x:c>
      <x:c r="C74" s="38" t="n">
        <x:f>IF(A74=1,'数值推演'!$B$128,'数值推演'!$B$120*POWER('数值推演'!$B$123,(A74-2)/'数值推演'!$B$122))</x:f>
        <x:v>16.687708283177237</x:v>
      </x:c>
      <x:c r="D74" s="38" t="n">
        <x:f>IF(A74=1,'数值推演'!$B$129,'数值推演'!$B$121*POWER('数值推演'!$B$124,(A74-2)/'数值推演'!$B$122))</x:f>
        <x:v>3.421670253144915</x:v>
      </x:c>
      <x:c r="E74" s="24" t="n">
        <x:f>COUNTIFS('怪物总表'!$C$6:$C$105,"普通",'怪物总表'!$E$6:$E$105,"&lt;="&amp;A74)</x:f>
        <x:v>80</x:v>
      </x:c>
      <x:c r="F74" s="24" t="n">
        <x:f>COUNTIFS('怪物总表'!$C$6:$C$105,"精英",'怪物总表'!$E$6:$E$105,"&lt;="&amp;A74)</x:f>
        <x:v>20</x:v>
      </x:c>
      <x:c r="G74" s="42" t="n">
        <x:f>C75*'数值推演'!$F$120/(C74*'数值推演'!$K$120)</x:f>
        <x:v>0.6285680541434231</x:v>
      </x:c>
      <x:c r="H74" s="24" t="n">
        <x:f>'数值推演'!F$122</x:f>
        <x:v>4</x:v>
      </x:c>
      <x:c r="I74" s="24" t="n">
        <x:f>'数值推演'!G$122</x:f>
        <x:v>5</x:v>
      </x:c>
      <x:c r="J74" s="24" t="n">
        <x:f>'数值推演'!H$122</x:f>
        <x:v>6</x:v>
      </x:c>
      <x:c r="K74" s="24" t="n">
        <x:f>'数值推演'!I$122</x:f>
        <x:v>7.5</x:v>
      </x:c>
      <x:c r="L74" s="24" t="n">
        <x:f>'数值推演'!J$122</x:f>
        <x:v>9</x:v>
      </x:c>
      <x:c r="M74" s="24" t="n">
        <x:f>'数值推演'!K$122</x:f>
        <x:v>11</x:v>
      </x:c>
    </x:row>
    <x:row r="75" ht="31.5" customHeight="1">
      <x:c r="A75" s="23" t="n">
        <x:v>70</x:v>
      </x:c>
      <x:c r="B75" s="16" t="str">
        <x:v>幽魂</x:v>
      </x:c>
      <x:c r="C75" s="37" t="n">
        <x:f>IF(A75=1,'数值推演'!$B$128,'数值推演'!$B$120*POWER('数值推演'!$B$123,(A75-2)/'数值推演'!$B$122))</x:f>
        <x:v>17.30744453405517</x:v>
      </x:c>
      <x:c r="D75" s="37" t="n">
        <x:f>IF(A75=1,'数值推演'!$B$129,'数值推演'!$B$121*POWER('数值推演'!$B$124,(A75-2)/'数值推演'!$B$122))</x:f>
        <x:v>3.474744733025827</x:v>
      </x:c>
      <x:c r="E75" s="23" t="n">
        <x:f>COUNTIFS('怪物总表'!$C$6:$C$105,"普通",'怪物总表'!$E$6:$E$105,"&lt;="&amp;A75)</x:f>
        <x:v>80</x:v>
      </x:c>
      <x:c r="F75" s="23" t="n">
        <x:f>COUNTIFS('怪物总表'!$C$6:$C$105,"精英",'怪物总表'!$E$6:$E$105,"&lt;="&amp;A75)</x:f>
        <x:v>20</x:v>
      </x:c>
      <x:c r="G75" s="41" t="n">
        <x:f>C76*'数值推演'!$F$120/(C75*'数值推演'!$K$120)</x:f>
        <x:v>0.6285680541434233</x:v>
      </x:c>
      <x:c r="H75" s="23" t="n">
        <x:f>'数值推演'!F$122</x:f>
        <x:v>4</x:v>
      </x:c>
      <x:c r="I75" s="23" t="n">
        <x:f>'数值推演'!G$122</x:f>
        <x:v>5</x:v>
      </x:c>
      <x:c r="J75" s="23" t="n">
        <x:f>'数值推演'!H$122</x:f>
        <x:v>6</x:v>
      </x:c>
      <x:c r="K75" s="23" t="n">
        <x:f>'数值推演'!I$122</x:f>
        <x:v>7.5</x:v>
      </x:c>
      <x:c r="L75" s="23" t="n">
        <x:f>'数值推演'!J$122</x:f>
        <x:v>9</x:v>
      </x:c>
      <x:c r="M75" s="23" t="n">
        <x:f>'数值推演'!K$122</x:f>
        <x:v>11</x:v>
      </x:c>
    </x:row>
    <x:row r="76" ht="31.5" customHeight="1">
      <x:c r="A76" s="24" t="n">
        <x:v>71</x:v>
      </x:c>
      <x:c r="B76" s="14" t="str">
        <x:v>幽魂</x:v>
      </x:c>
      <x:c r="C76" s="38" t="n">
        <x:f>IF(A76=1,'数值推演'!$B$128,'数值推演'!$B$120*POWER('数值推演'!$B$123,(A76-2)/'数值推演'!$B$122))</x:f>
        <x:v>17.95019610939437</x:v>
      </x:c>
      <x:c r="D76" s="38" t="n">
        <x:f>IF(A76=1,'数值推演'!$B$129,'数值推演'!$B$121*POWER('数值推演'!$B$124,(A76-2)/'数值推演'!$B$122))</x:f>
        <x:v>3.5286424659399733</x:v>
      </x:c>
      <x:c r="E76" s="24" t="n">
        <x:f>COUNTIFS('怪物总表'!$C$6:$C$105,"普通",'怪物总表'!$E$6:$E$105,"&lt;="&amp;A76)</x:f>
        <x:v>80</x:v>
      </x:c>
      <x:c r="F76" s="24" t="n">
        <x:f>COUNTIFS('怪物总表'!$C$6:$C$105,"精英",'怪物总表'!$E$6:$E$105,"&lt;="&amp;A76)</x:f>
        <x:v>20</x:v>
      </x:c>
      <x:c r="G76" s="42" t="n">
        <x:f>C77*'数值推演'!$F$120/(C76*'数值推演'!$K$120)</x:f>
        <x:v>0.6285680541434229</x:v>
      </x:c>
      <x:c r="H76" s="24" t="n">
        <x:f>'数值推演'!F$122</x:f>
        <x:v>4</x:v>
      </x:c>
      <x:c r="I76" s="24" t="n">
        <x:f>'数值推演'!G$122</x:f>
        <x:v>5</x:v>
      </x:c>
      <x:c r="J76" s="24" t="n">
        <x:f>'数值推演'!H$122</x:f>
        <x:v>6</x:v>
      </x:c>
      <x:c r="K76" s="24" t="n">
        <x:f>'数值推演'!I$122</x:f>
        <x:v>7.5</x:v>
      </x:c>
      <x:c r="L76" s="24" t="n">
        <x:f>'数值推演'!J$122</x:f>
        <x:v>9</x:v>
      </x:c>
      <x:c r="M76" s="24" t="n">
        <x:f>'数值推演'!K$122</x:f>
        <x:v>11</x:v>
      </x:c>
    </x:row>
    <x:row r="77" ht="31.5" customHeight="1">
      <x:c r="A77" s="23" t="n">
        <x:v>72</x:v>
      </x:c>
      <x:c r="B77" s="16" t="str">
        <x:v>幽魂</x:v>
      </x:c>
      <x:c r="C77" s="37" t="n">
        <x:f>IF(A77=1,'数值推演'!$B$128,'数值推演'!$B$120*POWER('数值推演'!$B$123,(A77-2)/'数值推演'!$B$122))</x:f>
        <x:v>18.616817735958517</x:v>
      </x:c>
      <x:c r="D77" s="37" t="n">
        <x:f>IF(A77=1,'数值推演'!$B$129,'数值推演'!$B$121*POWER('数值推演'!$B$124,(A77-2)/'数值推演'!$B$122))</x:f>
        <x:v>3.583376221594344</x:v>
      </x:c>
      <x:c r="E77" s="23" t="n">
        <x:f>COUNTIFS('怪物总表'!$C$6:$C$105,"普通",'怪物总表'!$E$6:$E$105,"&lt;="&amp;A77)</x:f>
        <x:v>80</x:v>
      </x:c>
      <x:c r="F77" s="23" t="n">
        <x:f>COUNTIFS('怪物总表'!$C$6:$C$105,"精英",'怪物总表'!$E$6:$E$105,"&lt;="&amp;A77)</x:f>
        <x:v>20</x:v>
      </x:c>
      <x:c r="G77" s="41" t="n">
        <x:f>C78*'数值推演'!$F$120/(C77*'数值推演'!$K$120)</x:f>
        <x:v>0.6285680541434229</x:v>
      </x:c>
      <x:c r="H77" s="23" t="n">
        <x:f>'数值推演'!F$122</x:f>
        <x:v>4</x:v>
      </x:c>
      <x:c r="I77" s="23" t="n">
        <x:f>'数值推演'!G$122</x:f>
        <x:v>5</x:v>
      </x:c>
      <x:c r="J77" s="23" t="n">
        <x:f>'数值推演'!H$122</x:f>
        <x:v>6</x:v>
      </x:c>
      <x:c r="K77" s="23" t="n">
        <x:f>'数值推演'!I$122</x:f>
        <x:v>7.5</x:v>
      </x:c>
      <x:c r="L77" s="23" t="n">
        <x:f>'数值推演'!J$122</x:f>
        <x:v>9</x:v>
      </x:c>
      <x:c r="M77" s="23" t="n">
        <x:f>'数值推演'!K$122</x:f>
        <x:v>11</x:v>
      </x:c>
    </x:row>
    <x:row r="78" ht="31.5" customHeight="1">
      <x:c r="A78" s="24" t="n">
        <x:v>73</x:v>
      </x:c>
      <x:c r="B78" s="14" t="str">
        <x:v>血肉</x:v>
      </x:c>
      <x:c r="C78" s="38" t="n">
        <x:f>IF(A78=1,'数值推演'!$B$128,'数值推演'!$B$120*POWER('数值推演'!$B$123,(A78-2)/'数值推演'!$B$122))</x:f>
        <x:v>19.308195882746446</x:v>
      </x:c>
      <x:c r="D78" s="38" t="n">
        <x:f>IF(A78=1,'数值推演'!$B$129,'数值推演'!$B$121*POWER('数值推演'!$B$124,(A78-2)/'数值推演'!$B$122))</x:f>
        <x:v>3.6389589677704097</x:v>
      </x:c>
      <x:c r="E78" s="24" t="n">
        <x:f>COUNTIFS('怪物总表'!$C$6:$C$105,"普通",'怪物总表'!$E$6:$E$105,"&lt;="&amp;A78)</x:f>
        <x:v>80</x:v>
      </x:c>
      <x:c r="F78" s="24" t="n">
        <x:f>COUNTIFS('怪物总表'!$C$6:$C$105,"精英",'怪物总表'!$E$6:$E$105,"&lt;="&amp;A78)</x:f>
        <x:v>20</x:v>
      </x:c>
      <x:c r="G78" s="42" t="n">
        <x:f>C79*'数值推演'!$F$120/(C78*'数值推演'!$K$120)</x:f>
        <x:v>0.6285680541434233</x:v>
      </x:c>
      <x:c r="H78" s="24" t="n">
        <x:f>'数值推演'!F$122</x:f>
        <x:v>4</x:v>
      </x:c>
      <x:c r="I78" s="24" t="n">
        <x:f>'数值推演'!G$122</x:f>
        <x:v>5</x:v>
      </x:c>
      <x:c r="J78" s="24" t="n">
        <x:f>'数值推演'!H$122</x:f>
        <x:v>6</x:v>
      </x:c>
      <x:c r="K78" s="24" t="n">
        <x:f>'数值推演'!I$122</x:f>
        <x:v>7.5</x:v>
      </x:c>
      <x:c r="L78" s="24" t="n">
        <x:f>'数值推演'!J$122</x:f>
        <x:v>9</x:v>
      </x:c>
      <x:c r="M78" s="24" t="n">
        <x:f>'数值推演'!K$122</x:f>
        <x:v>11</x:v>
      </x:c>
    </x:row>
    <x:row r="79" ht="31.5" customHeight="1">
      <x:c r="A79" s="23" t="n">
        <x:v>74</x:v>
      </x:c>
      <x:c r="B79" s="16" t="str">
        <x:v>血肉</x:v>
      </x:c>
      <x:c r="C79" s="37" t="n">
        <x:f>IF(A79=1,'数值推演'!$B$128,'数值推演'!$B$120*POWER('数值推演'!$B$123,(A79-2)/'数值推演'!$B$122))</x:f>
        <x:v>20.025249939812685</x:v>
      </x:c>
      <x:c r="D79" s="37" t="n">
        <x:f>IF(A79=1,'数值推演'!$B$129,'数值推演'!$B$121*POWER('数值推演'!$B$124,(A79-2)/'数值推演'!$B$122))</x:f>
        <x:v>3.6954038733965087</x:v>
      </x:c>
      <x:c r="E79" s="23" t="n">
        <x:f>COUNTIFS('怪物总表'!$C$6:$C$105,"普通",'怪物总表'!$E$6:$E$105,"&lt;="&amp;A79)</x:f>
        <x:v>80</x:v>
      </x:c>
      <x:c r="F79" s="23" t="n">
        <x:f>COUNTIFS('怪物总表'!$C$6:$C$105,"精英",'怪物总表'!$E$6:$E$105,"&lt;="&amp;A79)</x:f>
        <x:v>20</x:v>
      </x:c>
      <x:c r="G79" s="41" t="n">
        <x:f>C80*'数值推演'!$F$120/(C79*'数值推演'!$K$120)</x:f>
        <x:v>0.6285680541434231</x:v>
      </x:c>
      <x:c r="H79" s="23" t="n">
        <x:f>'数值推演'!F$122</x:f>
        <x:v>4</x:v>
      </x:c>
      <x:c r="I79" s="23" t="n">
        <x:f>'数值推演'!G$122</x:f>
        <x:v>5</x:v>
      </x:c>
      <x:c r="J79" s="23" t="n">
        <x:f>'数值推演'!H$122</x:f>
        <x:v>6</x:v>
      </x:c>
      <x:c r="K79" s="23" t="n">
        <x:f>'数值推演'!I$122</x:f>
        <x:v>7.5</x:v>
      </x:c>
      <x:c r="L79" s="23" t="n">
        <x:f>'数值推演'!J$122</x:f>
        <x:v>9</x:v>
      </x:c>
      <x:c r="M79" s="23" t="n">
        <x:f>'数值推演'!K$122</x:f>
        <x:v>11</x:v>
      </x:c>
    </x:row>
    <x:row r="80" ht="31.5" customHeight="1">
      <x:c r="A80" s="24" t="n">
        <x:v>75</x:v>
      </x:c>
      <x:c r="B80" s="14" t="str">
        <x:v>血肉</x:v>
      </x:c>
      <x:c r="C80" s="38" t="n">
        <x:f>IF(A80=1,'数值推演'!$B$128,'数值推演'!$B$120*POWER('数值推演'!$B$123,(A80-2)/'数值推演'!$B$122))</x:f>
        <x:v>20.768933440866203</x:v>
      </x:c>
      <x:c r="D80" s="38" t="n">
        <x:f>IF(A80=1,'数值推演'!$B$129,'数值推演'!$B$121*POWER('数值推演'!$B$124,(A80-2)/'数值推演'!$B$122))</x:f>
        <x:v>3.752724311667893</x:v>
      </x:c>
      <x:c r="E80" s="24" t="n">
        <x:f>COUNTIFS('怪物总表'!$C$6:$C$105,"普通",'怪物总表'!$E$6:$E$105,"&lt;="&amp;A80)</x:f>
        <x:v>80</x:v>
      </x:c>
      <x:c r="F80" s="24" t="n">
        <x:f>COUNTIFS('怪物总表'!$C$6:$C$105,"精英",'怪物总表'!$E$6:$E$105,"&lt;="&amp;A80)</x:f>
        <x:v>20</x:v>
      </x:c>
      <x:c r="G80" s="42" t="n">
        <x:f>C81*'数值推演'!$F$120/(C80*'数值推演'!$K$120)</x:f>
        <x:v>0.628568054143423</x:v>
      </x:c>
      <x:c r="H80" s="24" t="n">
        <x:f>'数值推演'!F$122</x:f>
        <x:v>4</x:v>
      </x:c>
      <x:c r="I80" s="24" t="n">
        <x:f>'数值推演'!G$122</x:f>
        <x:v>5</x:v>
      </x:c>
      <x:c r="J80" s="24" t="n">
        <x:f>'数值推演'!H$122</x:f>
        <x:v>6</x:v>
      </x:c>
      <x:c r="K80" s="24" t="n">
        <x:f>'数值推演'!I$122</x:f>
        <x:v>7.5</x:v>
      </x:c>
      <x:c r="L80" s="24" t="n">
        <x:f>'数值推演'!J$122</x:f>
        <x:v>9</x:v>
      </x:c>
      <x:c r="M80" s="24" t="n">
        <x:f>'数值推演'!K$122</x:f>
        <x:v>11</x:v>
      </x:c>
    </x:row>
    <x:row r="81" ht="31.5" customHeight="1">
      <x:c r="A81" s="23" t="n">
        <x:v>76</x:v>
      </x:c>
      <x:c r="B81" s="16" t="str">
        <x:v>结晶</x:v>
      </x:c>
      <x:c r="C81" s="37" t="n">
        <x:f>IF(A81=1,'数值推演'!$B$128,'数值推演'!$B$120*POWER('数值推演'!$B$123,(A81-2)/'数值推演'!$B$122))</x:f>
        <x:v>21.540235331273237</x:v>
      </x:c>
      <x:c r="D81" s="37" t="n">
        <x:f>IF(A81=1,'数值推演'!$B$129,'数值推演'!$B$121*POWER('数值推演'!$B$124,(A81-2)/'数值推演'!$B$122))</x:f>
        <x:v>3.8109338632151717</x:v>
      </x:c>
      <x:c r="E81" s="23" t="n">
        <x:f>COUNTIFS('怪物总表'!$C$6:$C$105,"普通",'怪物总表'!$E$6:$E$105,"&lt;="&amp;A81)</x:f>
        <x:v>80</x:v>
      </x:c>
      <x:c r="F81" s="23" t="n">
        <x:f>COUNTIFS('怪物总表'!$C$6:$C$105,"精英",'怪物总表'!$E$6:$E$105,"&lt;="&amp;A81)</x:f>
        <x:v>20</x:v>
      </x:c>
      <x:c r="G81" s="41" t="n">
        <x:f>C82*'数值推演'!$F$120/(C81*'数值推演'!$K$120)</x:f>
        <x:v>0.628568054143423</x:v>
      </x:c>
      <x:c r="H81" s="23" t="n">
        <x:f>'数值推演'!F$122</x:f>
        <x:v>4</x:v>
      </x:c>
      <x:c r="I81" s="23" t="n">
        <x:f>'数值推演'!G$122</x:f>
        <x:v>5</x:v>
      </x:c>
      <x:c r="J81" s="23" t="n">
        <x:f>'数值推演'!H$122</x:f>
        <x:v>6</x:v>
      </x:c>
      <x:c r="K81" s="23" t="n">
        <x:f>'数值推演'!I$122</x:f>
        <x:v>7.5</x:v>
      </x:c>
      <x:c r="L81" s="23" t="n">
        <x:f>'数值推演'!J$122</x:f>
        <x:v>9</x:v>
      </x:c>
      <x:c r="M81" s="23" t="n">
        <x:f>'数值推演'!K$122</x:f>
        <x:v>11</x:v>
      </x:c>
    </x:row>
    <x:row r="82" ht="31.5" customHeight="1">
      <x:c r="A82" s="24" t="n">
        <x:v>77</x:v>
      </x:c>
      <x:c r="B82" s="14" t="str">
        <x:v>结晶</x:v>
      </x:c>
      <x:c r="C82" s="38" t="n">
        <x:f>IF(A82=1,'数值推演'!$B$128,'数值推演'!$B$120*POWER('数值推演'!$B$123,(A82-2)/'数值推演'!$B$122))</x:f>
        <x:v>22.34018128315022</x:v>
      </x:c>
      <x:c r="D82" s="38" t="n">
        <x:f>IF(A82=1,'数值推演'!$B$129,'数值推演'!$B$121*POWER('数值推演'!$B$124,(A82-2)/'数值推演'!$B$122))</x:f>
        <x:v>3.870046319321892</x:v>
      </x:c>
      <x:c r="E82" s="24" t="n">
        <x:f>COUNTIFS('怪物总表'!$C$6:$C$105,"普通",'怪物总表'!$E$6:$E$105,"&lt;="&amp;A82)</x:f>
        <x:v>80</x:v>
      </x:c>
      <x:c r="F82" s="24" t="n">
        <x:f>COUNTIFS('怪物总表'!$C$6:$C$105,"精英",'怪物总表'!$E$6:$E$105,"&lt;="&amp;A82)</x:f>
        <x:v>20</x:v>
      </x:c>
      <x:c r="G82" s="42" t="n">
        <x:f>C83*'数值推演'!$F$120/(C82*'数值推演'!$K$120)</x:f>
        <x:v>0.628568054143423</x:v>
      </x:c>
      <x:c r="H82" s="24" t="n">
        <x:f>'数值推演'!F$122</x:f>
        <x:v>4</x:v>
      </x:c>
      <x:c r="I82" s="24" t="n">
        <x:f>'数值推演'!G$122</x:f>
        <x:v>5</x:v>
      </x:c>
      <x:c r="J82" s="24" t="n">
        <x:f>'数值推演'!H$122</x:f>
        <x:v>6</x:v>
      </x:c>
      <x:c r="K82" s="24" t="n">
        <x:f>'数值推演'!I$122</x:f>
        <x:v>7.5</x:v>
      </x:c>
      <x:c r="L82" s="24" t="n">
        <x:f>'数值推演'!J$122</x:f>
        <x:v>9</x:v>
      </x:c>
      <x:c r="M82" s="24" t="n">
        <x:f>'数值推演'!K$122</x:f>
        <x:v>11</x:v>
      </x:c>
    </x:row>
    <x:row r="83" ht="31.5" customHeight="1">
      <x:c r="A83" s="23" t="n">
        <x:v>78</x:v>
      </x:c>
      <x:c r="B83" s="16" t="str">
        <x:v>结晶</x:v>
      </x:c>
      <x:c r="C83" s="37" t="n">
        <x:f>IF(A83=1,'数值推演'!$B$128,'数值推演'!$B$120*POWER('数值推演'!$B$123,(A83-2)/'数值推演'!$B$122))</x:f>
        <x:v>23.16983505929574</x:v>
      </x:c>
      <x:c r="D83" s="37" t="n">
        <x:f>IF(A83=1,'数值推演'!$B$129,'数值推演'!$B$121*POWER('数值推演'!$B$124,(A83-2)/'数值推演'!$B$122))</x:f>
        <x:v>3.930075685192042</x:v>
      </x:c>
      <x:c r="E83" s="23" t="n">
        <x:f>COUNTIFS('怪物总表'!$C$6:$C$105,"普通",'怪物总表'!$E$6:$E$105,"&lt;="&amp;A83)</x:f>
        <x:v>80</x:v>
      </x:c>
      <x:c r="F83" s="23" t="n">
        <x:f>COUNTIFS('怪物总表'!$C$6:$C$105,"精英",'怪物总表'!$E$6:$E$105,"&lt;="&amp;A83)</x:f>
        <x:v>20</x:v>
      </x:c>
      <x:c r="G83" s="41" t="n">
        <x:f>C84*'数值推演'!$F$120/(C83*'数值推演'!$K$120)</x:f>
        <x:v>0.6285680541434233</x:v>
      </x:c>
      <x:c r="H83" s="23" t="n">
        <x:f>'数值推演'!F$122</x:f>
        <x:v>4</x:v>
      </x:c>
      <x:c r="I83" s="23" t="n">
        <x:f>'数值推演'!G$122</x:f>
        <x:v>5</x:v>
      </x:c>
      <x:c r="J83" s="23" t="n">
        <x:f>'数值推演'!H$122</x:f>
        <x:v>6</x:v>
      </x:c>
      <x:c r="K83" s="23" t="n">
        <x:f>'数值推演'!I$122</x:f>
        <x:v>7.5</x:v>
      </x:c>
      <x:c r="L83" s="23" t="n">
        <x:f>'数值推演'!J$122</x:f>
        <x:v>9</x:v>
      </x:c>
      <x:c r="M83" s="23" t="n">
        <x:f>'数值推演'!K$122</x:f>
        <x:v>11</x:v>
      </x:c>
    </x:row>
    <x:row r="84" ht="31.5" customHeight="1">
      <x:c r="A84" s="24" t="n">
        <x:v>79</x:v>
      </x:c>
      <x:c r="B84" s="14" t="str">
        <x:v>幽魂</x:v>
      </x:c>
      <x:c r="C84" s="38" t="n">
        <x:f>IF(A84=1,'数值推演'!$B$128,'数值推演'!$B$120*POWER('数值推演'!$B$123,(A84-2)/'数值推演'!$B$122))</x:f>
        <x:v>24.03029992777522</x:v>
      </x:c>
      <x:c r="D84" s="38" t="n">
        <x:f>IF(A84=1,'数值推演'!$B$129,'数值推演'!$B$121*POWER('数值推演'!$B$124,(A84-2)/'数值推演'!$B$122))</x:f>
        <x:v>3.9910361832682293</x:v>
      </x:c>
      <x:c r="E84" s="24" t="n">
        <x:f>COUNTIFS('怪物总表'!$C$6:$C$105,"普通",'怪物总表'!$E$6:$E$105,"&lt;="&amp;A84)</x:f>
        <x:v>80</x:v>
      </x:c>
      <x:c r="F84" s="24" t="n">
        <x:f>COUNTIFS('怪物总表'!$C$6:$C$105,"精英",'怪物总表'!$E$6:$E$105,"&lt;="&amp;A84)</x:f>
        <x:v>20</x:v>
      </x:c>
      <x:c r="G84" s="42" t="n">
        <x:f>C85*'数值推演'!$F$120/(C84*'数值推演'!$K$120)</x:f>
        <x:v>0.6285680541434231</x:v>
      </x:c>
      <x:c r="H84" s="24" t="n">
        <x:f>'数值推演'!F$122</x:f>
        <x:v>4</x:v>
      </x:c>
      <x:c r="I84" s="24" t="n">
        <x:f>'数值推演'!G$122</x:f>
        <x:v>5</x:v>
      </x:c>
      <x:c r="J84" s="24" t="n">
        <x:f>'数值推演'!H$122</x:f>
        <x:v>6</x:v>
      </x:c>
      <x:c r="K84" s="24" t="n">
        <x:f>'数值推演'!I$122</x:f>
        <x:v>7.5</x:v>
      </x:c>
      <x:c r="L84" s="24" t="n">
        <x:f>'数值推演'!J$122</x:f>
        <x:v>9</x:v>
      </x:c>
      <x:c r="M84" s="24" t="n">
        <x:f>'数值推演'!K$122</x:f>
        <x:v>11</x:v>
      </x:c>
    </x:row>
    <x:row r="85" ht="31.5" customHeight="1">
      <x:c r="A85" s="23" t="n">
        <x:v>80</x:v>
      </x:c>
      <x:c r="B85" s="16" t="str">
        <x:v>幽魂</x:v>
      </x:c>
      <x:c r="C85" s="37" t="n">
        <x:f>IF(A85=1,'数值推演'!$B$128,'数值推演'!$B$120*POWER('数值推演'!$B$123,(A85-2)/'数值推演'!$B$122))</x:f>
        <x:v>24.92272012903944</x:v>
      </x:c>
      <x:c r="D85" s="37" t="n">
        <x:f>IF(A85=1,'数值推演'!$B$129,'数值推演'!$B$121*POWER('数值推演'!$B$124,(A85-2)/'数值推演'!$B$122))</x:f>
        <x:v>4.052942256601325</x:v>
      </x:c>
      <x:c r="E85" s="23" t="n">
        <x:f>COUNTIFS('怪物总表'!$C$6:$C$105,"普通",'怪物总表'!$E$6:$E$105,"&lt;="&amp;A85)</x:f>
        <x:v>80</x:v>
      </x:c>
      <x:c r="F85" s="23" t="n">
        <x:f>COUNTIFS('怪物总表'!$C$6:$C$105,"精英",'怪物总表'!$E$6:$E$105,"&lt;="&amp;A85)</x:f>
        <x:v>20</x:v>
      </x:c>
      <x:c r="G85" s="41" t="n">
        <x:f>C86*'数值推演'!$F$120/(C85*'数值推演'!$K$120)</x:f>
        <x:v>0.6285680541434231</x:v>
      </x:c>
      <x:c r="H85" s="23" t="n">
        <x:f>'数值推演'!F$122</x:f>
        <x:v>4</x:v>
      </x:c>
      <x:c r="I85" s="23" t="n">
        <x:f>'数值推演'!G$122</x:f>
        <x:v>5</x:v>
      </x:c>
      <x:c r="J85" s="23" t="n">
        <x:f>'数值推演'!H$122</x:f>
        <x:v>6</x:v>
      </x:c>
      <x:c r="K85" s="23" t="n">
        <x:f>'数值推演'!I$122</x:f>
        <x:v>7.5</x:v>
      </x:c>
      <x:c r="L85" s="23" t="n">
        <x:f>'数值推演'!J$122</x:f>
        <x:v>9</x:v>
      </x:c>
      <x:c r="M85" s="23" t="n">
        <x:f>'数值推演'!K$122</x:f>
        <x:v>11</x:v>
      </x:c>
    </x:row>
    <x:row r="86" ht="31.5" customHeight="1">
      <x:c r="A86" s="24" t="n">
        <x:v>81</x:v>
      </x:c>
      <x:c r="B86" s="14" t="str">
        <x:v>幽魂</x:v>
      </x:c>
      <x:c r="C86" s="38" t="n">
        <x:f>IF(A86=1,'数值推演'!$B$128,'数值推演'!$B$120*POWER('数值推演'!$B$123,(A86-2)/'数值推演'!$B$122))</x:f>
        <x:v>25.848282397527882</x:v>
      </x:c>
      <x:c r="D86" s="38" t="n">
        <x:f>IF(A86=1,'数值推演'!$B$129,'数值推演'!$B$121*POWER('数值推演'!$B$124,(A86-2)/'数值推演'!$B$122))</x:f>
        <x:v>4.115808572272385</x:v>
      </x:c>
      <x:c r="E86" s="24" t="n">
        <x:f>COUNTIFS('怪物总表'!$C$6:$C$105,"普通",'怪物总表'!$E$6:$E$105,"&lt;="&amp;A86)</x:f>
        <x:v>80</x:v>
      </x:c>
      <x:c r="F86" s="24" t="n">
        <x:f>COUNTIFS('怪物总表'!$C$6:$C$105,"精英",'怪物总表'!$E$6:$E$105,"&lt;="&amp;A86)</x:f>
        <x:v>20</x:v>
      </x:c>
      <x:c r="G86" s="42" t="n">
        <x:f>C87*'数值推演'!$F$120/(C86*'数值推演'!$K$120)</x:f>
        <x:v>0.6285680541434232</x:v>
      </x:c>
      <x:c r="H86" s="24" t="n">
        <x:f>'数值推演'!F$122</x:f>
        <x:v>4</x:v>
      </x:c>
      <x:c r="I86" s="24" t="n">
        <x:f>'数值推演'!G$122</x:f>
        <x:v>5</x:v>
      </x:c>
      <x:c r="J86" s="24" t="n">
        <x:f>'数值推演'!H$122</x:f>
        <x:v>6</x:v>
      </x:c>
      <x:c r="K86" s="24" t="n">
        <x:f>'数值推演'!I$122</x:f>
        <x:v>7.5</x:v>
      </x:c>
      <x:c r="L86" s="24" t="n">
        <x:f>'数值推演'!J$122</x:f>
        <x:v>9</x:v>
      </x:c>
      <x:c r="M86" s="24" t="n">
        <x:f>'数值推演'!K$122</x:f>
        <x:v>11</x:v>
      </x:c>
    </x:row>
    <x:row r="87" ht="31.5" customHeight="1">
      <x:c r="A87" s="23" t="n">
        <x:v>82</x:v>
      </x:c>
      <x:c r="B87" s="16" t="str">
        <x:v>血肉</x:v>
      </x:c>
      <x:c r="C87" s="37" t="n">
        <x:f>IF(A87=1,'数值推演'!$B$128,'数值推演'!$B$120*POWER('数值推演'!$B$123,(A87-2)/'数值推演'!$B$122))</x:f>
        <x:v>26.808217539780266</x:v>
      </x:c>
      <x:c r="D87" s="37" t="n">
        <x:f>IF(A87=1,'数值推演'!$B$129,'数值推演'!$B$121*POWER('数值推演'!$B$124,(A87-2)/'数值推演'!$B$122))</x:f>
        <x:v>4.179650024867644</x:v>
      </x:c>
      <x:c r="E87" s="23" t="n">
        <x:f>COUNTIFS('怪物总表'!$C$6:$C$105,"普通",'怪物总表'!$E$6:$E$105,"&lt;="&amp;A87)</x:f>
        <x:v>80</x:v>
      </x:c>
      <x:c r="F87" s="23" t="n">
        <x:f>COUNTIFS('怪物总表'!$C$6:$C$105,"精英",'怪物总表'!$E$6:$E$105,"&lt;="&amp;A87)</x:f>
        <x:v>20</x:v>
      </x:c>
      <x:c r="G87" s="41" t="n">
        <x:f>C88*'数值推演'!$F$120/(C87*'数值推演'!$K$120)</x:f>
        <x:v>0.628568054143423</x:v>
      </x:c>
      <x:c r="H87" s="23" t="n">
        <x:f>'数值推演'!F$122</x:f>
        <x:v>4</x:v>
      </x:c>
      <x:c r="I87" s="23" t="n">
        <x:f>'数值推演'!G$122</x:f>
        <x:v>5</x:v>
      </x:c>
      <x:c r="J87" s="23" t="n">
        <x:f>'数值推演'!H$122</x:f>
        <x:v>6</x:v>
      </x:c>
      <x:c r="K87" s="23" t="n">
        <x:f>'数值推演'!I$122</x:f>
        <x:v>7.5</x:v>
      </x:c>
      <x:c r="L87" s="23" t="n">
        <x:f>'数值推演'!J$122</x:f>
        <x:v>9</x:v>
      </x:c>
      <x:c r="M87" s="23" t="n">
        <x:f>'数值推演'!K$122</x:f>
        <x:v>11</x:v>
      </x:c>
    </x:row>
    <x:row r="88" ht="31.5" customHeight="1">
      <x:c r="A88" s="24" t="n">
        <x:v>83</x:v>
      </x:c>
      <x:c r="B88" s="14" t="str">
        <x:v>血肉</x:v>
      </x:c>
      <x:c r="C88" s="38" t="n">
        <x:f>IF(A88=1,'数值推演'!$B$128,'数值推演'!$B$120*POWER('数值推演'!$B$123,(A88-2)/'数值推演'!$B$122))</x:f>
        <x:v>27.803802071154884</x:v>
      </x:c>
      <x:c r="D88" s="38" t="n">
        <x:f>IF(A88=1,'数值推演'!$B$129,'数值推演'!$B$121*POWER('数值推演'!$B$124,(A88-2)/'数值推演'!$B$122))</x:f>
        <x:v>4.244481740007406</x:v>
      </x:c>
      <x:c r="E88" s="24" t="n">
        <x:f>COUNTIFS('怪物总表'!$C$6:$C$105,"普通",'怪物总表'!$E$6:$E$105,"&lt;="&amp;A88)</x:f>
        <x:v>80</x:v>
      </x:c>
      <x:c r="F88" s="24" t="n">
        <x:f>COUNTIFS('怪物总表'!$C$6:$C$105,"精英",'怪物总表'!$E$6:$E$105,"&lt;="&amp;A88)</x:f>
        <x:v>20</x:v>
      </x:c>
      <x:c r="G88" s="42" t="n">
        <x:f>C89*'数值推演'!$F$120/(C88*'数值推演'!$K$120)</x:f>
        <x:v>0.628568054143423</x:v>
      </x:c>
      <x:c r="H88" s="24" t="n">
        <x:f>'数值推演'!F$122</x:f>
        <x:v>4</x:v>
      </x:c>
      <x:c r="I88" s="24" t="n">
        <x:f>'数值推演'!G$122</x:f>
        <x:v>5</x:v>
      </x:c>
      <x:c r="J88" s="24" t="n">
        <x:f>'数值推演'!H$122</x:f>
        <x:v>6</x:v>
      </x:c>
      <x:c r="K88" s="24" t="n">
        <x:f>'数值推演'!I$122</x:f>
        <x:v>7.5</x:v>
      </x:c>
      <x:c r="L88" s="24" t="n">
        <x:f>'数值推演'!J$122</x:f>
        <x:v>9</x:v>
      </x:c>
      <x:c r="M88" s="24" t="n">
        <x:f>'数值推演'!K$122</x:f>
        <x:v>11</x:v>
      </x:c>
    </x:row>
    <x:row r="89" ht="31.5" customHeight="1">
      <x:c r="A89" s="23" t="n">
        <x:v>84</x:v>
      </x:c>
      <x:c r="B89" s="16" t="str">
        <x:v>血肉</x:v>
      </x:c>
      <x:c r="C89" s="37" t="n">
        <x:f>IF(A89=1,'数值推演'!$B$128,'数值推演'!$B$120*POWER('数值推演'!$B$123,(A89-2)/'数值推演'!$B$122))</x:f>
        <x:v>28.836359913330252</x:v>
      </x:c>
      <x:c r="D89" s="37" t="n">
        <x:f>IF(A89=1,'数值推演'!$B$129,'数值推演'!$B$121*POWER('数值推演'!$B$124,(A89-2)/'数值推演'!$B$122))</x:f>
        <x:v>4.310319077929687</x:v>
      </x:c>
      <x:c r="E89" s="23" t="n">
        <x:f>COUNTIFS('怪物总表'!$C$6:$C$105,"普通",'怪物总表'!$E$6:$E$105,"&lt;="&amp;A89)</x:f>
        <x:v>80</x:v>
      </x:c>
      <x:c r="F89" s="23" t="n">
        <x:f>COUNTIFS('怪物总表'!$C$6:$C$105,"精英",'怪物总表'!$E$6:$E$105,"&lt;="&amp;A89)</x:f>
        <x:v>20</x:v>
      </x:c>
      <x:c r="G89" s="41" t="n">
        <x:f>C90*'数值推演'!$F$120/(C89*'数值推演'!$K$120)</x:f>
        <x:v>0.6285680541434234</x:v>
      </x:c>
      <x:c r="H89" s="23" t="n">
        <x:f>'数值推演'!F$122</x:f>
        <x:v>4</x:v>
      </x:c>
      <x:c r="I89" s="23" t="n">
        <x:f>'数值推演'!G$122</x:f>
        <x:v>5</x:v>
      </x:c>
      <x:c r="J89" s="23" t="n">
        <x:f>'数值推演'!H$122</x:f>
        <x:v>6</x:v>
      </x:c>
      <x:c r="K89" s="23" t="n">
        <x:f>'数值推演'!I$122</x:f>
        <x:v>7.5</x:v>
      </x:c>
      <x:c r="L89" s="23" t="n">
        <x:f>'数值推演'!J$122</x:f>
        <x:v>9</x:v>
      </x:c>
      <x:c r="M89" s="23" t="n">
        <x:f>'数值推演'!K$122</x:f>
        <x:v>11</x:v>
      </x:c>
    </x:row>
    <x:row r="90" ht="31.5" customHeight="1">
      <x:c r="A90" s="24" t="n">
        <x:v>85</x:v>
      </x:c>
      <x:c r="B90" s="14" t="str">
        <x:v>结晶</x:v>
      </x:c>
      <x:c r="C90" s="38" t="n">
        <x:f>IF(A90=1,'数值推演'!$B$128,'数值推演'!$B$120*POWER('数值推演'!$B$123,(A90-2)/'数值推演'!$B$122))</x:f>
        <x:v>29.907264154847336</x:v>
      </x:c>
      <x:c r="D90" s="38" t="n">
        <x:f>IF(A90=1,'数值推演'!$B$129,'数值推演'!$B$121*POWER('数值推演'!$B$124,(A90-2)/'数值推演'!$B$122))</x:f>
        <x:v>4.3771776371294315</x:v>
      </x:c>
      <x:c r="E90" s="24" t="n">
        <x:f>COUNTIFS('怪物总表'!$C$6:$C$105,"普通",'怪物总表'!$E$6:$E$105,"&lt;="&amp;A90)</x:f>
        <x:v>80</x:v>
      </x:c>
      <x:c r="F90" s="24" t="n">
        <x:f>COUNTIFS('怪物总表'!$C$6:$C$105,"精英",'怪物总表'!$E$6:$E$105,"&lt;="&amp;A90)</x:f>
        <x:v>20</x:v>
      </x:c>
      <x:c r="G90" s="42" t="n">
        <x:f>C91*'数值推演'!$F$120/(C90*'数值推演'!$K$120)</x:f>
        <x:v>0.6285680541434231</x:v>
      </x:c>
      <x:c r="H90" s="24" t="n">
        <x:f>'数值推演'!F$122</x:f>
        <x:v>4</x:v>
      </x:c>
      <x:c r="I90" s="24" t="n">
        <x:f>'数值推演'!G$122</x:f>
        <x:v>5</x:v>
      </x:c>
      <x:c r="J90" s="24" t="n">
        <x:f>'数值推演'!H$122</x:f>
        <x:v>6</x:v>
      </x:c>
      <x:c r="K90" s="24" t="n">
        <x:f>'数值推演'!I$122</x:f>
        <x:v>7.5</x:v>
      </x:c>
      <x:c r="L90" s="24" t="n">
        <x:f>'数值推演'!J$122</x:f>
        <x:v>9</x:v>
      </x:c>
      <x:c r="M90" s="24" t="n">
        <x:f>'数值推演'!K$122</x:f>
        <x:v>11</x:v>
      </x:c>
    </x:row>
    <x:row r="91" ht="31.5" customHeight="1">
      <x:c r="A91" s="23" t="n">
        <x:v>86</x:v>
      </x:c>
      <x:c r="B91" s="16" t="str">
        <x:v>结晶</x:v>
      </x:c>
      <x:c r="C91" s="37" t="n">
        <x:f>IF(A91=1,'数值推演'!$B$128,'数值推演'!$B$120*POWER('数值推演'!$B$123,(A91-2)/'数值推演'!$B$122))</x:f>
        <x:v>31.017938877033465</x:v>
      </x:c>
      <x:c r="D91" s="37" t="n">
        <x:f>IF(A91=1,'数值推演'!$B$129,'数值推演'!$B$121*POWER('数值推演'!$B$124,(A91-2)/'数值推演'!$B$122))</x:f>
        <x:v>4.445073258054177</x:v>
      </x:c>
      <x:c r="E91" s="23" t="n">
        <x:f>COUNTIFS('怪物总表'!$C$6:$C$105,"普通",'怪物总表'!$E$6:$E$105,"&lt;="&amp;A91)</x:f>
        <x:v>80</x:v>
      </x:c>
      <x:c r="F91" s="23" t="n">
        <x:f>COUNTIFS('怪物总表'!$C$6:$C$105,"精英",'怪物总表'!$E$6:$E$105,"&lt;="&amp;A91)</x:f>
        <x:v>20</x:v>
      </x:c>
      <x:c r="G91" s="41" t="n">
        <x:f>C92*'数值推演'!$F$120/(C91*'数值推演'!$K$120)</x:f>
        <x:v>0.6285680541434229</x:v>
      </x:c>
      <x:c r="H91" s="23" t="n">
        <x:f>'数值推演'!F$122</x:f>
        <x:v>4</x:v>
      </x:c>
      <x:c r="I91" s="23" t="n">
        <x:f>'数值推演'!G$122</x:f>
        <x:v>5</x:v>
      </x:c>
      <x:c r="J91" s="23" t="n">
        <x:f>'数值推演'!H$122</x:f>
        <x:v>6</x:v>
      </x:c>
      <x:c r="K91" s="23" t="n">
        <x:f>'数值推演'!I$122</x:f>
        <x:v>7.5</x:v>
      </x:c>
      <x:c r="L91" s="23" t="n">
        <x:f>'数值推演'!J$122</x:f>
        <x:v>9</x:v>
      </x:c>
      <x:c r="M91" s="23" t="n">
        <x:f>'数值推演'!K$122</x:f>
        <x:v>11</x:v>
      </x:c>
    </x:row>
    <x:row r="92" ht="31.5" customHeight="1">
      <x:c r="A92" s="24" t="n">
        <x:v>87</x:v>
      </x:c>
      <x:c r="B92" s="14" t="str">
        <x:v>结晶</x:v>
      </x:c>
      <x:c r="C92" s="38" t="n">
        <x:f>IF(A92=1,'数值推演'!$B$128,'数值推演'!$B$120*POWER('数值推演'!$B$123,(A92-2)/'数值推演'!$B$122))</x:f>
        <x:v>32.16986104773631</x:v>
      </x:c>
      <x:c r="D92" s="38" t="n">
        <x:f>IF(A92=1,'数值推演'!$B$129,'数值推演'!$B$121*POWER('数值推演'!$B$124,(A92-2)/'数值推演'!$B$122))</x:f>
        <x:v>4.514022026857056</x:v>
      </x:c>
      <x:c r="E92" s="24" t="n">
        <x:f>COUNTIFS('怪物总表'!$C$6:$C$105,"普通",'怪物总表'!$E$6:$E$105,"&lt;="&amp;A92)</x:f>
        <x:v>80</x:v>
      </x:c>
      <x:c r="F92" s="24" t="n">
        <x:f>COUNTIFS('怪物总表'!$C$6:$C$105,"精英",'怪物总表'!$E$6:$E$105,"&lt;="&amp;A92)</x:f>
        <x:v>20</x:v>
      </x:c>
      <x:c r="G92" s="42" t="n">
        <x:f>C93*'数值推演'!$F$120/(C92*'数值推演'!$K$120)</x:f>
        <x:v>0.6285680541434231</x:v>
      </x:c>
      <x:c r="H92" s="24" t="n">
        <x:f>'数值推演'!F$122</x:f>
        <x:v>4</x:v>
      </x:c>
      <x:c r="I92" s="24" t="n">
        <x:f>'数值推演'!G$122</x:f>
        <x:v>5</x:v>
      </x:c>
      <x:c r="J92" s="24" t="n">
        <x:f>'数值推演'!H$122</x:f>
        <x:v>6</x:v>
      </x:c>
      <x:c r="K92" s="24" t="n">
        <x:f>'数值推演'!I$122</x:f>
        <x:v>7.5</x:v>
      </x:c>
      <x:c r="L92" s="24" t="n">
        <x:f>'数值推演'!J$122</x:f>
        <x:v>9</x:v>
      </x:c>
      <x:c r="M92" s="24" t="n">
        <x:f>'数值推演'!K$122</x:f>
        <x:v>11</x:v>
      </x:c>
    </x:row>
    <x:row r="93" ht="31.5" customHeight="1">
      <x:c r="A93" s="23" t="n">
        <x:v>88</x:v>
      </x:c>
      <x:c r="B93" s="16" t="str">
        <x:v>幽魂</x:v>
      </x:c>
      <x:c r="C93" s="37" t="n">
        <x:f>IF(A93=1,'数值推演'!$B$128,'数值推演'!$B$120*POWER('数值推演'!$B$123,(A93-2)/'数值推演'!$B$122))</x:f>
        <x:v>33.36456248538586</x:v>
      </x:c>
      <x:c r="D93" s="37" t="n">
        <x:f>IF(A93=1,'数值推演'!$B$129,'数值推演'!$B$121*POWER('数值推演'!$B$124,(A93-2)/'数值推演'!$B$122))</x:f>
        <x:v>4.584040279207999</x:v>
      </x:c>
      <x:c r="E93" s="23" t="n">
        <x:f>COUNTIFS('怪物总表'!$C$6:$C$105,"普通",'怪物总表'!$E$6:$E$105,"&lt;="&amp;A93)</x:f>
        <x:v>80</x:v>
      </x:c>
      <x:c r="F93" s="23" t="n">
        <x:f>COUNTIFS('怪物总表'!$C$6:$C$105,"精英",'怪物总表'!$E$6:$E$105,"&lt;="&amp;A93)</x:f>
        <x:v>20</x:v>
      </x:c>
      <x:c r="G93" s="41" t="n">
        <x:f>C94*'数值推演'!$F$120/(C93*'数值推演'!$K$120)</x:f>
        <x:v>0.628568054143423</x:v>
      </x:c>
      <x:c r="H93" s="23" t="n">
        <x:f>'数值推演'!F$122</x:f>
        <x:v>4</x:v>
      </x:c>
      <x:c r="I93" s="23" t="n">
        <x:f>'数值推演'!G$122</x:f>
        <x:v>5</x:v>
      </x:c>
      <x:c r="J93" s="23" t="n">
        <x:f>'数值推演'!H$122</x:f>
        <x:v>6</x:v>
      </x:c>
      <x:c r="K93" s="23" t="n">
        <x:f>'数值推演'!I$122</x:f>
        <x:v>7.5</x:v>
      </x:c>
      <x:c r="L93" s="23" t="n">
        <x:f>'数值推演'!J$122</x:f>
        <x:v>9</x:v>
      </x:c>
      <x:c r="M93" s="23" t="n">
        <x:f>'数值推演'!K$122</x:f>
        <x:v>11</x:v>
      </x:c>
    </x:row>
    <x:row r="94" ht="31.5" customHeight="1">
      <x:c r="A94" s="24" t="n">
        <x:v>89</x:v>
      </x:c>
      <x:c r="B94" s="14" t="str">
        <x:v>幽魂</x:v>
      </x:c>
      <x:c r="C94" s="38" t="n">
        <x:f>IF(A94=1,'数值推演'!$B$128,'数值推演'!$B$120*POWER('数值推演'!$B$123,(A94-2)/'数值推演'!$B$122))</x:f>
        <x:v>34.6036318959963</x:v>
      </x:c>
      <x:c r="D94" s="38" t="n">
        <x:f>IF(A94=1,'数值推演'!$B$129,'数值推演'!$B$121*POWER('数值推演'!$B$124,(A94-2)/'数值推演'!$B$122))</x:f>
        <x:v>4.655144604164063</x:v>
      </x:c>
      <x:c r="E94" s="24" t="n">
        <x:f>COUNTIFS('怪物总表'!$C$6:$C$105,"普通",'怪物总表'!$E$6:$E$105,"&lt;="&amp;A94)</x:f>
        <x:v>80</x:v>
      </x:c>
      <x:c r="F94" s="24" t="n">
        <x:f>COUNTIFS('怪物总表'!$C$6:$C$105,"精英",'怪物总表'!$E$6:$E$105,"&lt;="&amp;A94)</x:f>
        <x:v>20</x:v>
      </x:c>
      <x:c r="G94" s="42" t="n">
        <x:f>C95*'数值推演'!$F$120/(C94*'数值推演'!$K$120)</x:f>
        <x:v>0.6285680541434235</x:v>
      </x:c>
      <x:c r="H94" s="24" t="n">
        <x:f>'数值推演'!F$122</x:f>
        <x:v>4</x:v>
      </x:c>
      <x:c r="I94" s="24" t="n">
        <x:f>'数值推演'!G$122</x:f>
        <x:v>5</x:v>
      </x:c>
      <x:c r="J94" s="24" t="n">
        <x:f>'数值推演'!H$122</x:f>
        <x:v>6</x:v>
      </x:c>
      <x:c r="K94" s="24" t="n">
        <x:f>'数值推演'!I$122</x:f>
        <x:v>7.5</x:v>
      </x:c>
      <x:c r="L94" s="24" t="n">
        <x:f>'数值推演'!J$122</x:f>
        <x:v>9</x:v>
      </x:c>
      <x:c r="M94" s="24" t="n">
        <x:f>'数值推演'!K$122</x:f>
        <x:v>11</x:v>
      </x:c>
    </x:row>
    <x:row r="95" ht="31.5" customHeight="1">
      <x:c r="A95" s="23" t="n">
        <x:v>90</x:v>
      </x:c>
      <x:c r="B95" s="16" t="str">
        <x:v>幽魂</x:v>
      </x:c>
      <x:c r="C95" s="37" t="n">
        <x:f>IF(A95=1,'数值推演'!$B$128,'数值推演'!$B$120*POWER('数值推演'!$B$123,(A95-2)/'数值推演'!$B$122))</x:f>
        <x:v>35.88871698581681</x:v>
      </x:c>
      <x:c r="D95" s="37" t="n">
        <x:f>IF(A95=1,'数值推演'!$B$129,'数值推演'!$B$121*POWER('数值推演'!$B$124,(A95-2)/'数值推演'!$B$122))</x:f>
        <x:v>4.727351848099787</x:v>
      </x:c>
      <x:c r="E95" s="23" t="n">
        <x:f>COUNTIFS('怪物总表'!$C$6:$C$105,"普通",'怪物总表'!$E$6:$E$105,"&lt;="&amp;A95)</x:f>
        <x:v>80</x:v>
      </x:c>
      <x:c r="F95" s="23" t="n">
        <x:f>COUNTIFS('怪物总表'!$C$6:$C$105,"精英",'怪物总表'!$E$6:$E$105,"&lt;="&amp;A95)</x:f>
        <x:v>20</x:v>
      </x:c>
      <x:c r="G95" s="41" t="n">
        <x:f>C96*'数值推演'!$F$120/(C95*'数值推演'!$K$120)</x:f>
        <x:v>0.628568054143423</x:v>
      </x:c>
      <x:c r="H95" s="23" t="n">
        <x:f>'数值推演'!F$122</x:f>
        <x:v>4</x:v>
      </x:c>
      <x:c r="I95" s="23" t="n">
        <x:f>'数值推演'!G$122</x:f>
        <x:v>5</x:v>
      </x:c>
      <x:c r="J95" s="23" t="n">
        <x:f>'数值推演'!H$122</x:f>
        <x:v>6</x:v>
      </x:c>
      <x:c r="K95" s="23" t="n">
        <x:f>'数值推演'!I$122</x:f>
        <x:v>7.5</x:v>
      </x:c>
      <x:c r="L95" s="23" t="n">
        <x:f>'数值推演'!J$122</x:f>
        <x:v>9</x:v>
      </x:c>
      <x:c r="M95" s="23" t="n">
        <x:f>'数值推演'!K$122</x:f>
        <x:v>11</x:v>
      </x:c>
    </x:row>
    <x:row r="96" ht="31.5" customHeight="1">
      <x:c r="A96" s="24" t="n">
        <x:v>91</x:v>
      </x:c>
      <x:c r="B96" s="14" t="str">
        <x:v>血肉</x:v>
      </x:c>
      <x:c r="C96" s="38" t="n">
        <x:f>IF(A96=1,'数值推演'!$B$128,'数值推演'!$B$120*POWER('数值推演'!$B$123,(A96-2)/'数值推演'!$B$122))</x:f>
        <x:v>37.221526652440154</x:v>
      </x:c>
      <x:c r="D96" s="38" t="n">
        <x:f>IF(A96=1,'数值推演'!$B$129,'数值推演'!$B$121*POWER('数值推演'!$B$124,(A96-2)/'数值推演'!$B$122))</x:f>
        <x:v>4.800679118698511</x:v>
      </x:c>
      <x:c r="E96" s="24" t="n">
        <x:f>COUNTIFS('怪物总表'!$C$6:$C$105,"普通",'怪物总表'!$E$6:$E$105,"&lt;="&amp;A96)</x:f>
        <x:v>80</x:v>
      </x:c>
      <x:c r="F96" s="24" t="n">
        <x:f>COUNTIFS('怪物总表'!$C$6:$C$105,"精英",'怪物总表'!$E$6:$E$105,"&lt;="&amp;A96)</x:f>
        <x:v>20</x:v>
      </x:c>
      <x:c r="G96" s="42" t="n">
        <x:f>C97*'数值推演'!$F$120/(C96*'数值推演'!$K$120)</x:f>
        <x:v>0.628568054143423</x:v>
      </x:c>
      <x:c r="H96" s="24" t="n">
        <x:f>'数值推演'!F$122</x:f>
        <x:v>4</x:v>
      </x:c>
      <x:c r="I96" s="24" t="n">
        <x:f>'数值推演'!G$122</x:f>
        <x:v>5</x:v>
      </x:c>
      <x:c r="J96" s="24" t="n">
        <x:f>'数值推演'!H$122</x:f>
        <x:v>6</x:v>
      </x:c>
      <x:c r="K96" s="24" t="n">
        <x:f>'数值推演'!I$122</x:f>
        <x:v>7.5</x:v>
      </x:c>
      <x:c r="L96" s="24" t="n">
        <x:f>'数值推演'!J$122</x:f>
        <x:v>9</x:v>
      </x:c>
      <x:c r="M96" s="24" t="n">
        <x:f>'数值推演'!K$122</x:f>
        <x:v>11</x:v>
      </x:c>
    </x:row>
    <x:row r="97" ht="31.5" customHeight="1">
      <x:c r="A97" s="23" t="n">
        <x:v>92</x:v>
      </x:c>
      <x:c r="B97" s="16" t="str">
        <x:v>血肉</x:v>
      </x:c>
      <x:c r="C97" s="37" t="n">
        <x:f>IF(A97=1,'数值推演'!$B$128,'数值推演'!$B$120*POWER('数值推演'!$B$123,(A97-2)/'数值推演'!$B$122))</x:f>
        <x:v>38.603833257283576</x:v>
      </x:c>
      <x:c r="D97" s="37" t="n">
        <x:f>IF(A97=1,'数值推演'!$B$129,'数值推演'!$B$121*POWER('数值推演'!$B$124,(A97-2)/'数值推演'!$B$122))</x:f>
        <x:v>4.8751437890056195</x:v>
      </x:c>
      <x:c r="E97" s="23" t="n">
        <x:f>COUNTIFS('怪物总表'!$C$6:$C$105,"普通",'怪物总表'!$E$6:$E$105,"&lt;="&amp;A97)</x:f>
        <x:v>80</x:v>
      </x:c>
      <x:c r="F97" s="23" t="n">
        <x:f>COUNTIFS('怪物总表'!$C$6:$C$105,"精英",'怪物总表'!$E$6:$E$105,"&lt;="&amp;A97)</x:f>
        <x:v>20</x:v>
      </x:c>
      <x:c r="G97" s="41" t="n">
        <x:f>C98*'数值推演'!$F$120/(C97*'数值推演'!$K$120)</x:f>
        <x:v>0.6285680541434231</x:v>
      </x:c>
      <x:c r="H97" s="23" t="n">
        <x:f>'数值推演'!F$122</x:f>
        <x:v>4</x:v>
      </x:c>
      <x:c r="I97" s="23" t="n">
        <x:f>'数值推演'!G$122</x:f>
        <x:v>5</x:v>
      </x:c>
      <x:c r="J97" s="23" t="n">
        <x:f>'数值推演'!H$122</x:f>
        <x:v>6</x:v>
      </x:c>
      <x:c r="K97" s="23" t="n">
        <x:f>'数值推演'!I$122</x:f>
        <x:v>7.5</x:v>
      </x:c>
      <x:c r="L97" s="23" t="n">
        <x:f>'数值推演'!J$122</x:f>
        <x:v>9</x:v>
      </x:c>
      <x:c r="M97" s="23" t="n">
        <x:f>'数值推演'!K$122</x:f>
        <x:v>11</x:v>
      </x:c>
    </x:row>
    <x:row r="98" ht="31.5" customHeight="1">
      <x:c r="A98" s="24" t="n">
        <x:v>93</x:v>
      </x:c>
      <x:c r="B98" s="14" t="str">
        <x:v>血肉</x:v>
      </x:c>
      <x:c r="C98" s="38" t="n">
        <x:f>IF(A98=1,'数值推演'!$B$128,'数值推演'!$B$120*POWER('数值推演'!$B$123,(A98-2)/'数值推演'!$B$122))</x:f>
        <x:v>40.03747498246303</x:v>
      </x:c>
      <x:c r="D98" s="38" t="n">
        <x:f>IF(A98=1,'数值推演'!$B$129,'数值推演'!$B$121*POWER('数值推演'!$B$124,(A98-2)/'数值推演'!$B$122))</x:f>
        <x:v>4.950763501544639</x:v>
      </x:c>
      <x:c r="E98" s="24" t="n">
        <x:f>COUNTIFS('怪物总表'!$C$6:$C$105,"普通",'怪物总表'!$E$6:$E$105,"&lt;="&amp;A98)</x:f>
        <x:v>80</x:v>
      </x:c>
      <x:c r="F98" s="24" t="n">
        <x:f>COUNTIFS('怪物总表'!$C$6:$C$105,"精英",'怪物总表'!$E$6:$E$105,"&lt;="&amp;A98)</x:f>
        <x:v>20</x:v>
      </x:c>
      <x:c r="G98" s="42" t="n">
        <x:f>C99*'数值推演'!$F$120/(C98*'数值推演'!$K$120)</x:f>
        <x:v>0.628568054143423</x:v>
      </x:c>
      <x:c r="H98" s="24" t="n">
        <x:f>'数值推演'!F$122</x:f>
        <x:v>4</x:v>
      </x:c>
      <x:c r="I98" s="24" t="n">
        <x:f>'数值推演'!G$122</x:f>
        <x:v>5</x:v>
      </x:c>
      <x:c r="J98" s="24" t="n">
        <x:f>'数值推演'!H$122</x:f>
        <x:v>6</x:v>
      </x:c>
      <x:c r="K98" s="24" t="n">
        <x:f>'数值推演'!I$122</x:f>
        <x:v>7.5</x:v>
      </x:c>
      <x:c r="L98" s="24" t="n">
        <x:f>'数值推演'!J$122</x:f>
        <x:v>9</x:v>
      </x:c>
      <x:c r="M98" s="24" t="n">
        <x:f>'数值推演'!K$122</x:f>
        <x:v>11</x:v>
      </x:c>
    </x:row>
    <x:row r="99" ht="31.5" customHeight="1">
      <x:c r="A99" s="23" t="n">
        <x:v>94</x:v>
      </x:c>
      <x:c r="B99" s="16" t="str">
        <x:v>结晶</x:v>
      </x:c>
      <x:c r="C99" s="37" t="n">
        <x:f>IF(A99=1,'数值推演'!$B$128,'数值推演'!$B$120*POWER('数值推演'!$B$123,(A99-2)/'数值推演'!$B$122))</x:f>
        <x:v>41.52435827519557</x:v>
      </x:c>
      <x:c r="D99" s="37" t="n">
        <x:f>IF(A99=1,'数值推演'!$B$129,'数值推演'!$B$121*POWER('数值推演'!$B$124,(A99-2)/'数值推演'!$B$122))</x:f>
        <x:v>5.027556172497188</x:v>
      </x:c>
      <x:c r="E99" s="23" t="n">
        <x:f>COUNTIFS('怪物总表'!$C$6:$C$105,"普通",'怪物总表'!$E$6:$E$105,"&lt;="&amp;A99)</x:f>
        <x:v>80</x:v>
      </x:c>
      <x:c r="F99" s="23" t="n">
        <x:f>COUNTIFS('怪物总表'!$C$6:$C$105,"精英",'怪物总表'!$E$6:$E$105,"&lt;="&amp;A99)</x:f>
        <x:v>20</x:v>
      </x:c>
      <x:c r="G99" s="41" t="n">
        <x:f>C100*'数值推演'!$F$120/(C99*'数值推演'!$K$120)</x:f>
        <x:v>0.6285680541434233</x:v>
      </x:c>
      <x:c r="H99" s="23" t="n">
        <x:f>'数值推演'!F$122</x:f>
        <x:v>4</x:v>
      </x:c>
      <x:c r="I99" s="23" t="n">
        <x:f>'数值推演'!G$122</x:f>
        <x:v>5</x:v>
      </x:c>
      <x:c r="J99" s="23" t="n">
        <x:f>'数值推演'!H$122</x:f>
        <x:v>6</x:v>
      </x:c>
      <x:c r="K99" s="23" t="n">
        <x:f>'数值推演'!I$122</x:f>
        <x:v>7.5</x:v>
      </x:c>
      <x:c r="L99" s="23" t="n">
        <x:f>'数值推演'!J$122</x:f>
        <x:v>9</x:v>
      </x:c>
      <x:c r="M99" s="23" t="n">
        <x:f>'数值推演'!K$122</x:f>
        <x:v>11</x:v>
      </x:c>
    </x:row>
    <x:row r="100" ht="31.5" customHeight="1">
      <x:c r="A100" s="24" t="n">
        <x:v>95</x:v>
      </x:c>
      <x:c r="B100" s="14" t="str">
        <x:v>结晶</x:v>
      </x:c>
      <x:c r="C100" s="38" t="n">
        <x:f>IF(A100=1,'数值推演'!$B$128,'数值推演'!$B$120*POWER('数值推演'!$B$123,(A100-2)/'数值推演'!$B$122))</x:f>
        <x:v>43.06646038298016</x:v>
      </x:c>
      <x:c r="D100" s="38" t="n">
        <x:f>IF(A100=1,'数值推演'!$B$129,'数值推演'!$B$121*POWER('数值推演'!$B$124,(A100-2)/'数值推演'!$B$122))</x:f>
        <x:v>5.10553999594777</x:v>
      </x:c>
      <x:c r="E100" s="24" t="n">
        <x:f>COUNTIFS('怪物总表'!$C$6:$C$105,"普通",'怪物总表'!$E$6:$E$105,"&lt;="&amp;A100)</x:f>
        <x:v>80</x:v>
      </x:c>
      <x:c r="F100" s="24" t="n">
        <x:f>COUNTIFS('怪物总表'!$C$6:$C$105,"精英",'怪物总表'!$E$6:$E$105,"&lt;="&amp;A100)</x:f>
        <x:v>20</x:v>
      </x:c>
      <x:c r="G100" s="42" t="n">
        <x:f>C101*'数值推演'!$F$120/(C100*'数值推演'!$K$120)</x:f>
        <x:v>0.6285680541434231</x:v>
      </x:c>
      <x:c r="H100" s="24" t="n">
        <x:f>'数值推演'!F$122</x:f>
        <x:v>4</x:v>
      </x:c>
      <x:c r="I100" s="24" t="n">
        <x:f>'数值推演'!G$122</x:f>
        <x:v>5</x:v>
      </x:c>
      <x:c r="J100" s="24" t="n">
        <x:f>'数值推演'!H$122</x:f>
        <x:v>6</x:v>
      </x:c>
      <x:c r="K100" s="24" t="n">
        <x:f>'数值推演'!I$122</x:f>
        <x:v>7.5</x:v>
      </x:c>
      <x:c r="L100" s="24" t="n">
        <x:f>'数值推演'!J$122</x:f>
        <x:v>9</x:v>
      </x:c>
      <x:c r="M100" s="24" t="n">
        <x:f>'数值推演'!K$122</x:f>
        <x:v>11</x:v>
      </x:c>
    </x:row>
    <x:row r="101" ht="31.5" customHeight="1">
      <x:c r="A101" s="23" t="n">
        <x:v>96</x:v>
      </x:c>
      <x:c r="B101" s="16" t="str">
        <x:v>结晶</x:v>
      </x:c>
      <x:c r="C101" s="37" t="n">
        <x:f>IF(A101=1,'数值推演'!$B$128,'数值推演'!$B$120*POWER('数值推演'!$B$123,(A101-2)/'数值推演'!$B$122))</x:f>
        <x:v>44.66583198292818</x:v>
      </x:c>
      <x:c r="D101" s="37" t="n">
        <x:f>IF(A101=1,'数值推演'!$B$129,'数值推演'!$B$121*POWER('数值推演'!$B$124,(A101-2)/'数值推演'!$B$122))</x:f>
        <x:v>5.184733448194393</x:v>
      </x:c>
      <x:c r="E101" s="23" t="n">
        <x:f>COUNTIFS('怪物总表'!$C$6:$C$105,"普通",'怪物总表'!$E$6:$E$105,"&lt;="&amp;A101)</x:f>
        <x:v>80</x:v>
      </x:c>
      <x:c r="F101" s="23" t="n">
        <x:f>COUNTIFS('怪物总表'!$C$6:$C$105,"精英",'怪物总表'!$E$6:$E$105,"&lt;="&amp;A101)</x:f>
        <x:v>20</x:v>
      </x:c>
      <x:c r="G101" s="41" t="n">
        <x:f>C102*'数值推演'!$F$120/(C101*'数值推演'!$K$120)</x:f>
        <x:v>0.628568054143423</x:v>
      </x:c>
      <x:c r="H101" s="23" t="n">
        <x:f>'数值推演'!F$122</x:f>
        <x:v>4</x:v>
      </x:c>
      <x:c r="I101" s="23" t="n">
        <x:f>'数值推演'!G$122</x:f>
        <x:v>5</x:v>
      </x:c>
      <x:c r="J101" s="23" t="n">
        <x:f>'数值推演'!H$122</x:f>
        <x:v>6</x:v>
      </x:c>
      <x:c r="K101" s="23" t="n">
        <x:f>'数值推演'!I$122</x:f>
        <x:v>7.5</x:v>
      </x:c>
      <x:c r="L101" s="23" t="n">
        <x:f>'数值推演'!J$122</x:f>
        <x:v>9</x:v>
      </x:c>
      <x:c r="M101" s="23" t="n">
        <x:f>'数值推演'!K$122</x:f>
        <x:v>11</x:v>
      </x:c>
    </x:row>
    <x:row r="102" ht="31.5" customHeight="1">
      <x:c r="A102" s="24" t="n">
        <x:v>97</x:v>
      </x:c>
      <x:c r="B102" s="14" t="str">
        <x:v>幽魂</x:v>
      </x:c>
      <x:c r="C102" s="38" t="n">
        <x:f>IF(A102=1,'数值推演'!$B$128,'数值推演'!$B$120*POWER('数值推演'!$B$123,(A102-2)/'数值推演'!$B$122))</x:f>
        <x:v>46.32459990874029</x:v>
      </x:c>
      <x:c r="D102" s="38" t="n">
        <x:f>IF(A102=1,'数值推演'!$B$129,'数值推演'!$B$121*POWER('数值推演'!$B$124,(A102-2)/'数值推演'!$B$122))</x:f>
        <x:v>5.26515529212607</x:v>
      </x:c>
      <x:c r="E102" s="24" t="n">
        <x:f>COUNTIFS('怪物总表'!$C$6:$C$105,"普通",'怪物总表'!$E$6:$E$105,"&lt;="&amp;A102)</x:f>
        <x:v>80</x:v>
      </x:c>
      <x:c r="F102" s="24" t="n">
        <x:f>COUNTIFS('怪物总表'!$C$6:$C$105,"精英",'怪物总表'!$E$6:$E$105,"&lt;="&amp;A102)</x:f>
        <x:v>20</x:v>
      </x:c>
      <x:c r="G102" s="42" t="n">
        <x:f>C103*'数值推演'!$F$120/(C102*'数值推演'!$K$120)</x:f>
        <x:v>0.6285680541434231</x:v>
      </x:c>
      <x:c r="H102" s="24" t="n">
        <x:f>'数值推演'!F$122</x:f>
        <x:v>4</x:v>
      </x:c>
      <x:c r="I102" s="24" t="n">
        <x:f>'数值推演'!G$122</x:f>
        <x:v>5</x:v>
      </x:c>
      <x:c r="J102" s="24" t="n">
        <x:f>'数值推演'!H$122</x:f>
        <x:v>6</x:v>
      </x:c>
      <x:c r="K102" s="24" t="n">
        <x:f>'数值推演'!I$122</x:f>
        <x:v>7.5</x:v>
      </x:c>
      <x:c r="L102" s="24" t="n">
        <x:f>'数值推演'!J$122</x:f>
        <x:v>9</x:v>
      </x:c>
      <x:c r="M102" s="24" t="n">
        <x:f>'数值推演'!K$122</x:f>
        <x:v>11</x:v>
      </x:c>
    </x:row>
    <x:row r="103" ht="31.5" customHeight="1">
      <x:c r="A103" s="23" t="n">
        <x:v>98</x:v>
      </x:c>
      <x:c r="B103" s="16" t="str">
        <x:v>幽魂</x:v>
      </x:c>
      <x:c r="C103" s="37" t="n">
        <x:f>IF(A103=1,'数值推演'!$B$128,'数值推演'!$B$120*POWER('数值推演'!$B$123,(A103-2)/'数值推演'!$B$122))</x:f>
        <x:v>48.044969978955635</x:v>
      </x:c>
      <x:c r="D103" s="37" t="n">
        <x:f>IF(A103=1,'数值推演'!$B$129,'数值推演'!$B$121*POWER('数值推演'!$B$124,(A103-2)/'数值推演'!$B$122))</x:f>
        <x:v>5.34682458166821</x:v>
      </x:c>
      <x:c r="E103" s="23" t="n">
        <x:f>COUNTIFS('怪物总表'!$C$6:$C$105,"普通",'怪物总表'!$E$6:$E$105,"&lt;="&amp;A103)</x:f>
        <x:v>80</x:v>
      </x:c>
      <x:c r="F103" s="23" t="n">
        <x:f>COUNTIFS('怪物总表'!$C$6:$C$105,"精英",'怪物总表'!$E$6:$E$105,"&lt;="&amp;A103)</x:f>
        <x:v>20</x:v>
      </x:c>
      <x:c r="G103" s="41" t="n">
        <x:f>C104*'数值推演'!$F$120/(C103*'数值推演'!$K$120)</x:f>
        <x:v>0.6285680541434231</x:v>
      </x:c>
      <x:c r="H103" s="23" t="n">
        <x:f>'数值推演'!F$122</x:f>
        <x:v>4</x:v>
      </x:c>
      <x:c r="I103" s="23" t="n">
        <x:f>'数值推演'!G$122</x:f>
        <x:v>5</x:v>
      </x:c>
      <x:c r="J103" s="23" t="n">
        <x:f>'数值推演'!H$122</x:f>
        <x:v>6</x:v>
      </x:c>
      <x:c r="K103" s="23" t="n">
        <x:f>'数值推演'!I$122</x:f>
        <x:v>7.5</x:v>
      </x:c>
      <x:c r="L103" s="23" t="n">
        <x:f>'数值推演'!J$122</x:f>
        <x:v>9</x:v>
      </x:c>
      <x:c r="M103" s="23" t="n">
        <x:f>'数值推演'!K$122</x:f>
        <x:v>11</x:v>
      </x:c>
    </x:row>
    <x:row r="104" ht="31.5" customHeight="1">
      <x:c r="A104" s="24" t="n">
        <x:v>99</x:v>
      </x:c>
      <x:c r="B104" s="14" t="str">
        <x:v>幽魂</x:v>
      </x:c>
      <x:c r="C104" s="38" t="n">
        <x:f>IF(A104=1,'数值推演'!$B$128,'数值推演'!$B$120*POWER('数值推演'!$B$123,(A104-2)/'数值推演'!$B$122))</x:f>
        <x:v>49.829229930234675</x:v>
      </x:c>
      <x:c r="D104" s="38" t="n">
        <x:f>IF(A104=1,'数值推演'!$B$129,'数值推演'!$B$121*POWER('数值推演'!$B$124,(A104-2)/'数值推演'!$B$122))</x:f>
        <x:v>5.429760666296964</x:v>
      </x:c>
      <x:c r="E104" s="24" t="n">
        <x:f>COUNTIFS('怪物总表'!$C$6:$C$105,"普通",'怪物总表'!$E$6:$E$105,"&lt;="&amp;A104)</x:f>
        <x:v>80</x:v>
      </x:c>
      <x:c r="F104" s="24" t="n">
        <x:f>COUNTIFS('怪物总表'!$C$6:$C$105,"精英",'怪物总表'!$E$6:$E$105,"&lt;="&amp;A104)</x:f>
        <x:v>20</x:v>
      </x:c>
      <x:c r="G104" s="42" t="n">
        <x:f>C105*'数值推演'!$F$120/(C104*'数值推演'!$K$120)</x:f>
        <x:v>0.6285680541434235</x:v>
      </x:c>
      <x:c r="H104" s="24" t="n">
        <x:f>'数值推演'!F$122</x:f>
        <x:v>4</x:v>
      </x:c>
      <x:c r="I104" s="24" t="n">
        <x:f>'数值推演'!G$122</x:f>
        <x:v>5</x:v>
      </x:c>
      <x:c r="J104" s="24" t="n">
        <x:f>'数值推演'!H$122</x:f>
        <x:v>6</x:v>
      </x:c>
      <x:c r="K104" s="24" t="n">
        <x:f>'数值推演'!I$122</x:f>
        <x:v>7.5</x:v>
      </x:c>
      <x:c r="L104" s="24" t="n">
        <x:f>'数值推演'!J$122</x:f>
        <x:v>9</x:v>
      </x:c>
      <x:c r="M104" s="24" t="n">
        <x:f>'数值推演'!K$122</x:f>
        <x:v>11</x:v>
      </x:c>
    </x:row>
    <x:row r="105" ht="31.5" customHeight="1">
      <x:c r="A105" s="25" t="n">
        <x:v>100</x:v>
      </x:c>
      <x:c r="B105" s="17" t="str">
        <x:v>血肉</x:v>
      </x:c>
      <x:c r="C105" s="39" t="n">
        <x:f>IF(A105=1,'数值推演'!$B$128,'数值推演'!$B$120*POWER('数值推演'!$B$123,(A105-2)/'数值推演'!$B$122))</x:f>
        <x:v>51.67975245957619</x:v>
      </x:c>
      <x:c r="D105" s="39" t="n">
        <x:f>IF(A105=1,'数值推演'!$B$129,'数值推演'!$B$121*POWER('数值推演'!$B$124,(A105-2)/'数值推演'!$B$122))</x:f>
        <x:v>5.5139831956235925</x:v>
      </x:c>
      <x:c r="E105" s="25" t="n">
        <x:f>COUNTIFS('怪物总表'!$C$6:$C$105,"普通",'怪物总表'!$E$6:$E$105,"&lt;="&amp;A105)</x:f>
        <x:v>80</x:v>
      </x:c>
      <x:c r="F105" s="25" t="n">
        <x:f>COUNTIFS('怪物总表'!$C$6:$C$105,"精英",'怪物总表'!$E$6:$E$105,"&lt;="&amp;A105)</x:f>
        <x:v>20</x:v>
      </x:c>
      <x:c r="G105" s="43" t="str">
        <x:f>"n.a."</x:f>
        <x:v>n.a.</x:v>
      </x:c>
      <x:c r="H105" s="25" t="n">
        <x:f>'数值推演'!F$122</x:f>
        <x:v>4</x:v>
      </x:c>
      <x:c r="I105" s="25" t="n">
        <x:f>'数值推演'!G$122</x:f>
        <x:v>5</x:v>
      </x:c>
      <x:c r="J105" s="25" t="n">
        <x:f>'数值推演'!H$122</x:f>
        <x:v>6</x:v>
      </x:c>
      <x:c r="K105" s="25" t="n">
        <x:f>'数值推演'!I$122</x:f>
        <x:v>7.5</x:v>
      </x:c>
      <x:c r="L105" s="25" t="n">
        <x:f>'数值推演'!J$122</x:f>
        <x:v>9</x:v>
      </x:c>
      <x:c r="M105" s="25" t="n">
        <x:f>'数值推演'!K$122</x:f>
        <x:v>11</x:v>
      </x:c>
    </x:row>
  </x:sheetData>
  <x:pageMargins left="0.7" right="0.7" top="0.75" bottom="0.75" header="0.3" footer="0.3"/>
  <x:tableParts count="1">
    <x:tablePart xmlns:r="http://schemas.openxmlformats.org/officeDocument/2006/relationships" r:id="R15362c0dd31c4070"/>
  </x:tableParts>
</x:worksheet>
</file>

<file path=xl/worksheets/sheet5.xml><?xml version="1.0" encoding="utf-8"?>
<x:worksheet xmlns:x="http://schemas.openxmlformats.org/spreadsheetml/2006/main">
  <x:sheetPr>
    <x:tabColor rgb="FF526E77"/>
  </x:sheetPr>
  <x:sheetViews>
    <x:sheetView showGridLines="0" workbookViewId="0">
      <x:pane xSplit="2" ySplit="5" topLeftCell="C6" activePane="bottomRight" state="frozen"/>
    </x:sheetView>
  </x:sheetViews>
  <x:sheetFormatPr defaultRowHeight="15"/>
  <x:cols>
    <x:col min="1" max="1" width="11.109999656677246" hidden="0" customWidth="1"/>
    <x:col min="2" max="2" width="16.110000610351562" hidden="0" customWidth="1"/>
    <x:col min="3" max="3" width="85.55999755859375" hidden="0" customWidth="1"/>
    <x:col min="4" max="4" width="61.11000061035156" hidden="0" customWidth="1"/>
    <x:col min="5" max="5" width="71.11000061035156" hidden="0" customWidth="1"/>
  </x:cols>
  <x:sheetData>
    <x:row r="1" ht="9" customHeight="1">
      <x:c r="A1" s="3"/>
      <x:c r="B1" s="3"/>
      <x:c r="C1" s="3"/>
      <x:c r="D1" s="3"/>
      <x:c r="E1" s="3"/>
    </x:row>
    <x:row r="2" ht="24" customHeight="1">
      <x:c r="A2" s="4" t="str">
        <x:v>20类行为算法与生成合同</x:v>
      </x:c>
      <x:c r="B2" s="3"/>
      <x:c r="C2" s="3"/>
      <x:c r="D2" s="3"/>
      <x:c r="E2" s="3"/>
    </x:row>
    <x:row r="3" ht="21" customHeight="1">
      <x:c r="A3" s="5" t="str">
        <x:v>算法参考可运行层数计算、编队生成、奖励分摊和一次事件调度。真实投射、碰撞、伤害与存档仍需接入游戏。</x:v>
      </x:c>
      <x:c r="B3" s="3"/>
      <x:c r="C3" s="3"/>
      <x:c r="D3" s="3"/>
      <x:c r="E3" s="3"/>
    </x:row>
    <x:row r="4">
      <x:c r="A4" s="6"/>
      <x:c r="B4" s="6"/>
      <x:c r="C4" s="6"/>
      <x:c r="D4" s="6"/>
      <x:c r="E4" s="6"/>
    </x:row>
    <x:row r="5" ht="36" customHeight="1">
      <x:c r="A5" s="10" t="str">
        <x:v>编号</x:v>
      </x:c>
      <x:c r="B5" s="10" t="str">
        <x:v>算法</x:v>
      </x:c>
      <x:c r="C5" s="10" t="str">
        <x:v>状态与执行步骤</x:v>
      </x:c>
      <x:c r="D5" s="10" t="str">
        <x:v>失败与回退</x:v>
      </x:c>
      <x:c r="E5" s="10" t="str">
        <x:v>适配与边界</x:v>
      </x:c>
    </x:row>
    <x:row r="6" ht="87" customHeight="1">
      <x:c r="A6" s="13" t="str">
        <x:v>F01</x:v>
      </x:c>
      <x:c r="B6" s="13" t="str">
        <x:v>追击近战</x:v>
      </x:c>
      <x:c r="C6" s="13" t="str">
        <x:v>玩家发射前按条目规则锁定具体世界路径、分支、终点、攻击朝向与攻击区域，并显示全路径和区域。敌方阶段只沿这份计划移动；不读取英雄发射后停点重新追击。按cycle明确先攻击后移动、先移动后攻击或无伤后撤。每阶段最多一次接触攻击，实际命中必须同时位于锁定区域和当前真实攻击可达范围内，持续接触不重复。
持久状态：lockedOrigin、lockedWaypoints、lockedAttackAreas、lockedBranch、cycleIndex、turnInStep、actionId</x:v>
      </x:c>
      <x:c r="D6" s="13" t="str">
        <x:v>源演员被实际碰撞移离锁定起点超过全局容差时取消本次动作。途中固体阻挡则停止；到不了原攻击位置时取消对应攻击，不把攻击圈挪到新终点、不从远处伤害旧圈、不穿墙或延长路线。</x:v>
      </x:c>
      <x:c r="E6" s="13" t="str">
        <x:v>锁定计划、预告与真实扫掠/路径碰撞共用数据；攻击顺序按条目执行，move_tiles是总路径长度上限。F01普通与精英均不采用发射后动态追瞄。</x:v>
      </x:c>
    </x:row>
    <x:row r="7" ht="57" customHeight="1">
      <x:c r="A7" s="16" t="str">
        <x:v>F02</x:v>
      </x:c>
      <x:c r="B7" s="16" t="str">
        <x:v>预告冲锋</x:v>
      </x:c>
      <x:c r="C7" s="16" t="str">
        <x:v>telegraph锁定起点、方向和条目路径形状，保留完整玩家回合。execute沿锁定路径扫掠，碰固体提前停止，英雄同一action只命中一次。随后恢复，禁止重选目标续冲。
持久状态：lockedOrigin、lockedSegments、actionId、cycleIndex</x:v>
      </x:c>
      <x:c r="D7" s="16" t="str">
        <x:v>起点被实际移开则取消；途中被挡只截断，不转弯追人。</x:v>
      </x:c>
      <x:c r="E7" s="16" t="str">
        <x:v>扫掠碰撞；多段路径只能来自预告中已显示的参数。</x:v>
      </x:c>
    </x:row>
    <x:row r="8" ht="57" customHeight="1">
      <x:c r="A8" s="14" t="str">
        <x:v>F03</x:v>
      </x:c>
      <x:c r="B8" s="14" t="str">
        <x:v>定域重击</x:v>
      </x:c>
      <x:c r="C8" s="14" t="str">
        <x:v>预告时按pattern计算并保存世界坐标区域。execute仅在已锁区域查询真实目标并调用基础伤害消费者；多个区域重叠取最大一次。恢复回合不普攻。
持久状态：lockedAreas、actionId、recovery</x:v>
      </x:c>
      <x:c r="D8" s="14" t="str">
        <x:v>锁定失效/源被位移则空过。不能在出手时把区域改到英雄新落点。</x:v>
      </x:c>
      <x:c r="E8" s="14" t="str">
        <x:v>真实面积查询与预告形状同源。</x:v>
      </x:c>
    </x:row>
    <x:row r="9" ht="57" customHeight="1">
      <x:c r="A9" s="16" t="str">
        <x:v>F04</x:v>
      </x:c>
      <x:c r="B9" s="16" t="str">
        <x:v>直线射击</x:v>
      </x:c>
      <x:c r="C9" s="16" t="str">
        <x:v>先按目标规则锁方向/射线。execute从有效锁定起点创建真实投射物，固体阻挡，距离限制range_tiles。多线属于同一action，英雄只结算一次。
持久状态：lockedRays、origin、projectileRootActionId</x:v>
      </x:c>
      <x:c r="D9" s="16" t="str">
        <x:v>起点改变/无合法射线则取消本次；不穿墙补命中。</x:v>
      </x:c>
      <x:c r="E9" s="16" t="str">
        <x:v>已有投射物消费者、新射线排布与去重适配。</x:v>
      </x:c>
    </x:row>
    <x:row r="10" ht="102" customHeight="1">
      <x:c r="A10" s="14" t="str">
        <x:v>F05</x:v>
      </x:c>
      <x:c r="B10" s="14" t="str">
        <x:v>扇形射击</x:v>
      </x:c>
      <x:c r="C10" s="14" t="str">
        <x:v>扇形为连续面积命中：预告时锁定世界圆心、中轴、角度、内外半径、阶段顺序以及安全缺口。cone_angle_degrees或fan_degrees定义外扇角；inner_radius_tiles缺省0；outer_radius_tiles缺省range_tiles；safe_notch_degrees缺省0。危险区是相应连续扇区/环扇减去明确缺口，并按真实固体遮挡裁剪。execute仅当英雄真实碰撞体与当前阶段未遮挡危险面积相交时，调用既有伤害消费者一次；不得以英雄中心点或几条稀疏射线替代面积判定。
持久状态：lockedOrigin、lockedHeading、lockedContinuousSectors、excludedSafeSectors、innerOuterRadii、phaseOrder、actionId</x:v>
      </x:c>
      <x:c r="D10" s="14" t="str">
        <x:v>实际英雄碰撞体没有完整安全落点时编队不能通过空间门；源演员移离锁定起点则取消。不得把稀疏射线间隙当安全缺口，不按层数补齐缺口、扩大角度或重新追瞄。</x:v>
      </x:c>
      <x:c r="E10" s="14" t="str">
        <x:v>新连续扇区/环扇几何过滤与现有碰撞/伤害接口结合，遮挡裁剪和预告共用几何；边缘射线可用于展示或求遮挡边界，但不构成稀疏弹丸命中模型。F05普通N017–N020与精英E005使用同一面积规则。</x:v>
      </x:c>
    </x:row>
    <x:row r="11" ht="57" customHeight="1">
      <x:c r="A11" s="16" t="str">
        <x:v>F06</x:v>
      </x:c>
      <x:c r="B11" s="16" t="str">
        <x:v>定点投弹</x:v>
      </x:c>
      <x:c r="C11" s="16" t="str">
        <x:v>预告锁定落点及爆区；投射过程与最终爆区使用同一action。只在约定执行阶段结算落点伤害，具体是否越过掩体由条目明确，不能临时追踪。
持久状态：lockedPoints、lockedAreas、actionId</x:v>
      </x:c>
      <x:c r="D11" s="16" t="str">
        <x:v>目标区域非法则取消，不换到另一块未预告区域。</x:v>
      </x:c>
      <x:c r="E11" s="16" t="str">
        <x:v>投射表现和实际爆炸消费者同步；类型使用已有爆炸枚举。</x:v>
      </x:c>
    </x:row>
    <x:row r="12" ht="57" customHeight="1">
      <x:c r="A12" s="14" t="str">
        <x:v>F07</x:v>
      </x:c>
      <x:c r="B12" s="14" t="str">
        <x:v>环形冲击</x:v>
      </x:c>
      <x:c r="C12" s="14" t="str">
        <x:v>按条目锁定中心、内外半径和分段生成连续圆/环/弧。内半径0表示实心圆；明确大于0才排除内圈。需要无伤移位的条目先执行relocate，再从实际新位置完整预告并锁定中心；多阶段环带按cycle分别执行，每次预告及实际碰撞共用几何。
持久状态：lockedCenter、radii、phaseOrder、actionId</x:v>
      </x:c>
      <x:c r="D12" s="14" t="str">
        <x:v>不允许把中心安全区或外侧安全区同时封死；源移动取消未执行攻击。</x:v>
      </x:c>
      <x:c r="E12" s="14" t="str">
        <x:v>真实英雄碰撞体参与面积相交：实心近圈不能误加安全内孔，带内孔的圆环不能误按整圆伤害。缺口和内圈须以完整碰撞体校验。</x:v>
      </x:c>
    </x:row>
    <x:row r="13" ht="57" customHeight="1">
      <x:c r="A13" s="16" t="str">
        <x:v>F08</x:v>
      </x:c>
      <x:c r="B13" s="16" t="str">
        <x:v>地面余波</x:v>
      </x:c>
      <x:c r="C13" s="16" t="str">
        <x:v>区域创建先处于warning，完整玩家回合后转为一次直接伤害结算，再按duration清理。死亡触发的区域在击杀当次不造成即时伤害。不可自动新增酸/冰伤害属性。
持久状态：areas{warningTurn,executeTurn,expiryTurn,actionId}</x:v>
      </x:c>
      <x:c r="D13" s="16" t="str">
        <x:v>达到条目区域上限不再创建；生命周期结束或战斗结束清理。</x:v>
      </x:c>
      <x:c r="E13" s="16" t="str">
        <x:v>已有直接伤害/环境来源，新增预警区域时序适配。</x:v>
      </x:c>
    </x:row>
    <x:row r="14" ht="57" customHeight="1">
      <x:c r="A14" s="14" t="str">
        <x:v>F09</x:v>
      </x:c>
      <x:c r="B14" s="14" t="str">
        <x:v>正面防御</x:v>
      </x:c>
      <x:c r="C14" s="14" t="str">
        <x:v>按cycle固定可见朝向与扇区，伤害到达时计算入射方向是否位于防御区。满足时通过既有伤害减免%来源添加条目减免，输出后清除临时来源；侧背沿原伤害链。
持久状态：facing、guardSector、modifierSourceId</x:v>
      </x:c>
      <x:c r="D14" s="14" t="str">
        <x:v>无全向免疫；总减免在新模式适配层限制75%，不可错误叠多个同名来源。</x:v>
      </x:c>
      <x:c r="E14" s="14" t="str">
        <x:v>方向条件是新AI；已有减伤消费者与物品伤害来源不能合并误算。</x:v>
      </x:c>
    </x:row>
    <x:row r="15" ht="57" customHeight="1">
      <x:c r="A15" s="16" t="str">
        <x:v>F10</x:v>
      </x:c>
      <x:c r="B15" s="16" t="str">
        <x:v>开合姿态</x:v>
      </x:c>
      <x:c r="C15" s="16" t="str">
        <x:v>按明确周期切换防御/攻击/恢复。发射前显示本轮姿态；姿态只改变声明的既有减伤来源或有限强固，不偷偷改变碰撞轮廓、攻击次数。
持久状态：stance、cycleIndex、fortifyGrantLedger</x:v>
      </x:c>
      <x:c r="D15" s="16" t="str">
        <x:v>读档、重新显示或受击不重置周期，不反复发战斗开始强固。</x:v>
      </x:c>
      <x:c r="E15" s="16" t="str">
        <x:v>强固须初始化强固减伤%0.5；不得照抄源力场的额外清强固/冲量副作用。</x:v>
      </x:c>
    </x:row>
    <x:row r="16" ht="72" customHeight="1">
      <x:c r="A16" s="14" t="str">
        <x:v>F11</x:v>
      </x:c>
      <x:c r="B16" s="14" t="str">
        <x:v>治疗同伴</x:v>
      </x:c>
      <x:c r="C16" s="14" t="str">
        <x:v>按条目选择目标模式：ID模式预锁一个或多个同伴；区域模式预锁世界圆区，执行时仅从该区内按条目稳定排序和人数上限选择同伴；会合模式先完成无伤移位，再完整预告。不得把所有模式强制改为单目标ID。每份治疗量、分流总额或逐目标全量按条目明示，调用既有治愈消费者且不超最大HP，保留原DOT交互；治疗占行动。
持久状态：lockedAllyIds或lockedHealArea、castAttemptsUsed、pulseOrShareIndex、actionId</x:v>
      </x:c>
      <x:c r="D16" s="14" t="str">
        <x:v>ID目标失效则其份额空过，不转自己或补换别人；区域模式只处理仍处于预告区域内的合法同伴，不能把区域搬到新目标脚下。达到条目尝试上限后走已声明fallback，失败尝试也计次。</x:v>
      </x:c>
      <x:c r="E16" s="14" t="str">
        <x:v>治疗整数为本表治愈×层HP倍率。关闭源额外暴击/成长，实际治愈/DOT账目沿原消费者。</x:v>
      </x:c>
    </x:row>
    <x:row r="17" ht="72" customHeight="1">
      <x:c r="A17" s="16" t="str">
        <x:v>F12</x:v>
      </x:c>
      <x:c r="B17" s="16" t="str">
        <x:v>强固支援</x:v>
      </x:c>
      <x:c r="C17" s="16" t="str">
        <x:v>按条目预锁同伴ID集合或固定授甲区域。单体、区域最多两人、会合后授甲、固定次序多目标和精英同目标分期分别遵循各自cycle；每份和总额不得自行翻倍。调用现有护甲生成分支进入当前护甲值，次数按尝试消耗；q=0.5分担伤害，非全吸收护盾。
持久状态：lockedAllyIds或lockedFortifyArea、castAttemptsUsed、installmentOrTargetIndex、grantSourceId</x:v>
      </x:c>
      <x:c r="D17" s="16" t="str">
        <x:v>目标模式按条目区分，ID失效不换人，区域模式不移动已锁世界区域；来源死亡或阶段到期清待发。任一目标缺强固减伤%键则加载/验收失败。</x:v>
      </x:c>
      <x:c r="E17" s="16" t="str">
        <x:v>显式初始化既有键，原生成护甲事件与新AI目标选择结合。</x:v>
      </x:c>
    </x:row>
    <x:row r="18" ht="72" customHeight="1">
      <x:c r="A18" s="14" t="str">
        <x:v>F13</x:v>
      </x:c>
      <x:c r="B18" s="14" t="str">
        <x:v>号令增伤</x:v>
      </x:c>
      <x:c r="C18" s="14" t="str">
        <x:v>按条目预告锁定目标ID集合；普通单前排、最多两名远程、明确包含施法者自身的目标组，以及精英逐轮接力不得被概述强制变成单个其他友军。给既有额外伤害%登记唯一来源；登记后依条目等到下一敌方阶段生效，并消费一次伤害动作或到期移除，不增加攻击次数。阈值号令走独立一次事件分支。
持久状态：lockedAllyIds、bonusSourceIds、activationEnemyTurn、expiryOrConsumed、relayIndex</x:v>
      </x:c>
      <x:c r="D18" s="14" t="str">
        <x:v>来源死亡、ID目标失效或到期清理；自我加成仅允许条目明确声明的对象，不自动附送给所有号令者。同来源不叠层，接力不得两个目标同时持有同一份加成。</x:v>
      </x:c>
      <x:c r="E18" s="14" t="str">
        <x:v>既有增伤词条的来源映射；新模式起始额外伤害来源为0。</x:v>
      </x:c>
    </x:row>
    <x:row r="19" ht="87" customHeight="1">
      <x:c r="A19" s="16" t="str">
        <x:v>F14</x:v>
      </x:c>
      <x:c r="B19" s="16" t="str">
        <x:v>孵化召唤</x:v>
      </x:c>
      <x:c r="C19" s="16" t="str">
        <x:v>按各条目的出生触发、世界点、数量和时序生成子嗣：本库N053–N056及E014声明的是直接出生幼体，不能因“孵化/卵”名称强加一个可拆卵实体。只有条目明确声明卵的HP、寿命及替换流程时才先生成卵。阈值触发走event_branches；接近触发遵循离圈再进入门；错峰或巢间移动按cycle执行。先锁合法点，成功或失败都消耗明示名额，子嗣出生无伤害。
持久状态：spawnAttemptsUsed、spawnedTotal、lockedSpawnPoints、entryOrThresholdLedger、reservedSlots、rootRewardId</x:v>
      </x:c>
      <x:c r="D19" s="16" t="str">
        <x:v>非法/被占出生点取消该名额，不改点补生、不因子嗣死亡返还名额。来源死亡取消尚未发生的出生动作；已出生子嗣依条目存续。所有实际实体与预留都必须守6上限。</x:v>
      </x:c>
      <x:c r="E19" s="16" t="str">
        <x:v>子嗣采用条目child_definition_id及child_hp_factor/child_attack_factor；基数严格用child_factor_basis，层/波不重复乘、精英不继承。清全部独立金币/XP/装备/材料奖励；出生后至少一完整玩家回合才可按可见计划行动。</x:v>
      </x:c>
    </x:row>
    <x:row r="20" ht="57" customHeight="1">
      <x:c r="A20" s="14" t="str">
        <x:v>F15</x:v>
      </x:c>
      <x:c r="B20" s="14" t="str">
        <x:v>一代分裂</x:v>
      </x:c>
      <x:c r="C20" s="14" t="str">
        <x:v>在条目规定死亡/阈值事件只触发一次，先标记splitUsed再创建有限子体。子体generation=1且没有分裂技能；父子共享根奖励去重ID。
持久状态：splitUsed、generation、childIds、rootRewardId</x:v>
      </x:c>
      <x:c r="D20" s="14" t="str">
        <x:v>不允许治疗后重复越过阈值刷子体；空间不足不递归重试。</x:v>
      </x:c>
      <x:c r="E20" s="14" t="str">
        <x:v>源分裂消费者只提供能力线索，需新预算、成长、奖励和一次触发门。</x:v>
      </x:c>
    </x:row>
    <x:row r="21" ht="87" customHeight="1">
      <x:c r="A21" s="16" t="str">
        <x:v>F16</x:v>
      </x:c>
      <x:c r="B21" s="16" t="str">
        <x:v>一次复生</x:v>
      </x:c>
      <x:c r="C21" s="16" t="str">
        <x:v>首次致死先保存once/根奖励账本并建立条目声明的可拆残骸；残骸生命严格按remnant_hp_base与remnant_hp_scaling，复起生命按revive_hp_basis，不混用两个基数。按事件序列等待完整玩家回合，必要时沿预告路径移动残骸；复起前检查残骸存活、锁定复起点合法及条目声明的同伴依赖，再按比例恢复本体。复生后行为采用条目明确的近战或射击分支。 若params.post_revive_cycle存在，复生后使用该周期替换生前cycle；不得一律回原近战。
持久状态：reviveUsed、corpseId、timer、rootRewardId</x:v>
      </x:c>
      <x:c r="D21" s="16" t="str">
        <x:v>残骸被毁、锁定位置失效或必要同伴死亡即终止；再次致死不再复生，不再发奖励。禁止借通用reset回满HP、重发初始强固或清除支援次数。</x:v>
      </x:c>
      <x:c r="E21" s="16" t="str">
        <x:v>通用重置会回满HP并清强固，新适配必须保留次数/奖励状态且不重发战斗开始收益。</x:v>
      </x:c>
    </x:row>
    <x:row r="22" ht="57" customHeight="1">
      <x:c r="A22" s="14" t="str">
        <x:v>F17</x:v>
      </x:c>
      <x:c r="B22" s="14" t="str">
        <x:v>预告瞬移</x:v>
      </x:c>
      <x:c r="C22" s="14" t="str">
        <x:v>预告选择并保存合法目标位，执行前复核占用/碰撞后移动。本次瞬移不攻击，之后按cycle重新预告；不可复制源整回合关闭碰撞的隐藏无敌。
持久状态：lockedLanding、cycleIndex</x:v>
      </x:c>
      <x:c r="D22" s="14" t="str">
        <x:v>位置被占则留在原位并空过；不能默认移到原点或临时选未预告位置。</x:v>
      </x:c>
      <x:c r="E22" s="14" t="str">
        <x:v>已有闪现接口加新可见落点、合法性和失败回退。</x:v>
      </x:c>
    </x:row>
    <x:row r="23" ht="57" customHeight="1">
      <x:c r="A23" s="16" t="str">
        <x:v>F18</x:v>
      </x:c>
      <x:c r="B23" s="16" t="str">
        <x:v>牵引位移</x:v>
      </x:c>
      <x:c r="C23" s="16" t="str">
        <x:v>预告锁定路径/方向和最大移动距离，玩家先有完整回合应对。执行时若真实命中才用现有位移/物理接口拉动，固体阻挡；本次不追加伤害。
持久状态：lockedOrigin、lockedPullPath、hitOnce、actionId</x:v>
      </x:c>
      <x:c r="D23" s="16" t="str">
        <x:v>不能拉入没有反制机会的危险结算；禁配列表先拦截，空间门再检查。位移不得穿墙。</x:v>
      </x:c>
      <x:c r="E23" s="16" t="str">
        <x:v>已有物理力不等于固定格位移，需真实物理校准；不添加抗拉/韧性属性。</x:v>
      </x:c>
    </x:row>
    <x:row r="24" ht="57" customHeight="1">
      <x:c r="A24" s="14" t="str">
        <x:v>F19</x:v>
      </x:c>
      <x:c r="B24" s="14" t="str">
        <x:v>可拆路障</x:v>
      </x:c>
      <x:c r="C24" s="14" t="str">
        <x:v>预告空格后创建有限可拆实体，HP按明确基值×层HP倍率，基础碰撞能拆。生成前检查占用与连通，按持续期清理；路障占预留实体位。
持久状态：barrierIds、castsUsed、expiryTurns</x:v>
      </x:c>
      <x:c r="D24" s="14" t="str">
        <x:v>造成所有进攻路径封闭时取消；不靠图像墙体冒充真实碰撞。</x:v>
      </x:c>
      <x:c r="E24" s="14" t="str">
        <x:v>源筑墙参考需改可拆HP、清理、连通与奖励合同，不继承源力场副作用。</x:v>
      </x:c>
    </x:row>
    <x:row r="25" ht="57" customHeight="1">
      <x:c r="A25" s="16" t="str">
        <x:v>F20</x:v>
      </x:c>
      <x:c r="B25" s="16" t="str">
        <x:v>蓄势炮击</x:v>
      </x:c>
      <x:c r="C25" s="16" t="str">
        <x:v>按cycle蓄势并保存完整世界射线/区域，所有分段与执行顺序提前可见。到execute才创建真实投射/伤害，之后较长恢复；同action去重。
持久状态：chargePhaseIndex、lockedGeometry、actionId</x:v>
      </x:c>
      <x:c r="D25" s="16" t="str">
        <x:v>蓄势只是AI回合计数，不新增能量条；源位移/目标失效则取消，不追瞄。</x:v>
      </x:c>
      <x:c r="E25" s="16" t="str">
        <x:v>多回合状态存档、起点锁定与投射命中一致。</x:v>
      </x:c>
    </x:row>
    <x:row r="26" ht="42" customHeight="1">
      <x:c r="A26" s="14" t="str">
        <x:v>GEN01</x:v>
      </x:c>
      <x:c r="B26" s="14" t="str">
        <x:v>层数取值</x:v>
      </x:c>
      <x:c r="C26" s="14" t="str">
        <x:v>F=1用1；F&gt;=2用1.45*1.20^((F-2)/5)；F=1用1；F&gt;=2用1.22*1.08^((F-2)/5)</x:v>
      </x:c>
      <x:c r="D26" s="14" t="str">
        <x:v>治疗和强固随HP层倍率，不再乘波倍率或精英倍率；防御比例、移动范围、次数不随层无界增加</x:v>
      </x:c>
      <x:c r="E26" s="14" t="str">
        <x:v>前两层沿用原层倍率锚点；第3层起替换旧1.45/1.22逐层指数为较慢冲层曲线。玩家成长有限，仍有最终冲层上限风险，不承诺无限可通关。</x:v>
      </x:c>
    </x:row>
    <x:row r="27" ht="42" customHeight="1">
      <x:c r="A27" s="16" t="str">
        <x:v>GEN02</x:v>
      </x:c>
      <x:c r="B27" s="16" t="str">
        <x:v>精英抽签</x:v>
      </x:c>
      <x:c r="C27" s="16" t="str">
        <x:v>按波概率抽请求，先检查每层2次/不连续；在可与另一普通怪同队的合法池抽精英。</x:v>
      </x:c>
      <x:c r="D27" s="16" t="str">
        <x:v>若合法精英池为空则记录无候选并按普通编队生成，不暗加精英、不额外花预算。当前100库需验证各可出精英有非零可达机会。</x:v>
      </x:c>
      <x:c r="E27" s="16" t="str">
        <x:v>80:20是内容条数，不是每波出怪比例；精英仍按波概率、预算与排布限制抽取。</x:v>
      </x:c>
    </x:row>
    <x:row r="28" ht="42" customHeight="1">
      <x:c r="A28" s="14" t="str">
        <x:v>GEN03</x:v>
      </x:c>
      <x:c r="B28" s="14" t="str">
        <x:v>编队填充</x:v>
      </x:c>
      <x:c r="C28" s="14" t="str">
        <x:v>先过滤层/波，再抽精英请求；枚举可与另一普通成员组成至少2人且含至少一名前排（可为精英）、满足预算/预留/家族互斥的精英候选；补齐成员与前排后，再按主题/重复修正逐只填充。</x:v>
      </x:c>
      <x:c r="D28" s="14" t="str">
        <x:v>剩余预算无法满足限制时停止，不额外加HP或伤害；未花满预算不减少既定波奖励。</x:v>
      </x:c>
      <x:c r="E28" s="14" t="str">
        <x:v>先按家族权重，再按同族候选等权/重复修正；不按玩家攻击或装备价值补强。</x:v>
      </x:c>
    </x:row>
    <x:row r="29" ht="72" customHeight="1">
      <x:c r="A29" s="16" t="str">
        <x:v>GEN04</x:v>
      </x:c>
      <x:c r="B29" s="16" t="str">
        <x:v>实体与预算</x:v>
      </x:c>
      <x:c r="C29" s="16" t="str">
        <x:v>成员的实体占位=1+附属实体预留数。卵、幼体、分裂体、可拆障碍、复生残骸都预留；预留是保守的同时占位上界，预算包含其贡献，不额外塞免费强度。
使用每条定义的generation_tags计前排、远程伤害、重击和控制，不以家族替代实际行为。N038射线姿态、N064复生射手、N066瞬移射手提前计入远程，不能充当前排。</x:v>
      </x:c>
      <x:c r="D29" s="16" t="str">
        <x:v>每波总预留≤6、初始成员≥2、精英≤1。</x:v>
      </x:c>
      <x:c r="E29" s="16" t="str">
        <x:v>后代/卵/残骸/路障不算新增正式怪种，也不额外掉落。</x:v>
      </x:c>
    </x:row>
    <x:row r="30" ht="42" customHeight="1">
      <x:c r="A30" s="14" t="str">
        <x:v>GEN05</x:v>
      </x:c>
      <x:c r="B30" s="14" t="str">
        <x:v>组合限制</x:v>
      </x:c>
      <x:c r="C30" s="14" t="str">
        <x:v>[{"families":["F11","F12","F13"],"max":1},{"families":["F14","F15","F16"],"max":1},{"families":["F08","F18","F19"],"max":1}]；禁配=[["F11","F14"],["F11","F15"],["F11","F16"],["F18","F08"],["F18","F19"]]</x:v>
      </x:c>
      <x:c r="D30" s="14" t="str">
        <x:v>逐条forbidden_with_families也须双向检查。</x:v>
      </x:c>
      <x:c r="E30" s="14" t="str">
        <x:v>硬禁配先拦截，真实共同安全区仍须运行验收。</x:v>
      </x:c>
    </x:row>
    <x:row r="31" ht="31.5" customHeight="1">
      <x:c r="A31" s="16" t="str">
        <x:v>GEN06</x:v>
      </x:c>
      <x:c r="B31" s="16" t="str">
        <x:v>随机保存</x:v>
      </x:c>
      <x:c r="C31" s="16" t="str">
        <x:v>version|seed|runId|floor|wave|domain|index；xorshift32；FNV-1a UTF-8</x:v>
      </x:c>
      <x:c r="D31" s="16" t="str">
        <x:v>生成后保存成员、生成参数与随机状态；重载不重抽，商店和附魔随机不消耗本域</x:v>
      </x:c>
      <x:c r="E31" s="16" t="str">
        <x:v>商品/附魔随机不消耗怪物域。</x:v>
      </x:c>
    </x:row>
    <x:row r="32" ht="42" customHeight="1">
      <x:c r="A32" s="14" t="str">
        <x:v>GEN07</x:v>
      </x:c>
      <x:c r="B32" s="14" t="str">
        <x:v>空间验收</x:v>
      </x:c>
      <x:c r="C32" s="14" t="str">
        <x:v>出生间隔、掩体通路和预告共同安全区由真实碰撞/发射引擎验收。配置生成通过只证明预算/标签/计数约束，不证明路线可解。</x:v>
      </x:c>
      <x:c r="D32" s="14" t="str">
        <x:v>空间生成最多20次失败后，回退开阔房与两个合法基础前排；记录原因、保留原波奖励。</x:v>
      </x:c>
      <x:c r="E32" s="14" t="str">
        <x:v>真实演员半径和完整反弹路径必须参与检查。</x:v>
      </x:c>
    </x:row>
    <x:row r="33" ht="42" customHeight="1">
      <x:c r="A33" s="16" t="str">
        <x:v>GEN08</x:v>
      </x:c>
      <x:c r="B33" s="16" t="str">
        <x:v>奖励分摊</x:v>
      </x:c>
      <x:c r="C33" s="16" t="str">
        <x:v>使用原波级金币/经验总额，按初始成员有效预算成本分摊；不为100怪编独立定额掉落。击杀入pending后随回合/死亡批次提交。</x:v>
      </x:c>
      <x:c r="D33" s="16" t="str">
        <x:v>召唤、分裂、复生和残骸无独立金币、经验、物品或材料；根成员奖励事件ID只结算一次。</x:v>
      </x:c>
      <x:c r="E33" s="16" t="str">
        <x:v>未在本表新造100套单怪金币/经验/物品掉落。</x:v>
      </x:c>
    </x:row>
    <x:row r="34" ht="57" customHeight="1">
      <x:c r="A34" s="14" t="str">
        <x:v>GEN09</x:v>
      </x:c>
      <x:c r="B34" s="14" t="str">
        <x:v>动作与预警</x:v>
      </x:c>
      <x:c r="C34" s="14" t="str">
        <x:v>同一怪同一动作对同一英雄只结算一次；重叠图形取最大单次伤害，不能叠成多段；保留真实来源ID。</x:v>
      </x:c>
      <x:c r="D34" s="14" t="str">
        <x:v>危险攻击/区域至少留一个完整玩家回合；死亡危险区在下一次发射前只预警，不在击杀当次立即伤害。</x:v>
      </x:c>
      <x:c r="E34" s="14" t="str">
        <x:v>锁定射线、冲锋、重击、牵引等时保存真实起点、方向和世界几何。执行前若源演员被实际碰撞移离起点超过1世界单位，取消该次伤害/牵引并进入恢复，不从新位置偷偷重算危险区；纯表现抖动不改物理位置。普通追击仍不得超出已显示包络。1单位是实现容差，不是怪物属性。</x:v>
      </x:c>
    </x:row>
    <x:row r="35" ht="57" customHeight="1">
      <x:c r="A35" s="16" t="str">
        <x:v>GEN10</x:v>
      </x:c>
      <x:c r="B35" s="16" t="str">
        <x:v>初始化</x:v>
      </x:c>
      <x:c r="C35" s="16" t="str">
        <x:v>显式创建既有加算词条强固减伤%=0.5；原敌人缺键，不能用忽略缺键的添加函数假装成功。此值借用源英雄合法值，是项目适配。</x:v>
      </x:c>
      <x:c r="D35" s="16" t="str">
        <x:v>这些都是已证实的既有词条，作为新模式起始来源置0，防止从原敌人偷偷继承未计入本表的暴击/增伤。号令、防御姿态等再按来源ID添加临时修饰并在到期移除。表内动作伤害仅为无临时增益、目标减伤前的参考值，非实战上限。</x:v>
      </x:c>
      <x:c r="E35" s="16" t="str">
        <x:v>新怪物与后代禁用原敌人层成长、随机普通/精英技能和源首领标签，使用本表层参数；Boss仍独立，不加通用精英倍率。</x:v>
      </x:c>
    </x:row>
    <x:row r="36" ht="57" customHeight="1">
      <x:c r="A36" s="15" t="str">
        <x:v>GEN11</x:v>
      </x:c>
      <x:c r="B36" s="15" t="str">
        <x:v>清波时机</x:v>
      </x:c>
      <x:c r="C36" s="15" t="str">
        <x:v>清波必须同时满足：没有存活敌对实体、没有可能生成敌对实体的待执行分裂/孵化/复生分支或卵/残骸。根怪致死时先在同一事务登记pending事件再从活体移除，不能在两步间结算胜利。分支完成并注册子体、被取消、残骸/卵被毁或无合法落点而终止后，才移除对应pending。每次更新后重新检查；不能为等事件生成一个无血条的假敌人。</x:v>
      </x:c>
      <x:c r="D36" s="15" t="str">
        <x:v>死亡根怪移除前先登记pending，不允许一个短暂的空场触发胜利。</x:v>
      </x:c>
      <x:c r="E36" s="15" t="str">
        <x:v>can_clear_wave只检查调用方提供的实体/待出生ID；真实原子事务和事件消费者仍待实施。</x:v>
      </x:c>
    </x:row>
  </x:sheetData>
  <x:pageMargins left="0.7" right="0.7" top="0.75" bottom="0.75" header="0.3" footer="0.3"/>
  <x:tableParts count="1">
    <x:tablePart xmlns:r="http://schemas.openxmlformats.org/officeDocument/2006/relationships" r:id="R3fba03c04e064620"/>
  </x:tableParts>
</x:worksheet>
</file>

<file path=xl/worksheets/sheet6.xml><?xml version="1.0" encoding="utf-8"?>
<x:worksheet xmlns:x="http://schemas.openxmlformats.org/spreadsheetml/2006/main">
  <x:sheetPr>
    <x:tabColor rgb="FF7A8493"/>
  </x:sheetPr>
  <x:sheetViews>
    <x:sheetView showGridLines="0" workbookViewId="0">
      <x:pane xSplit="2" ySplit="5" topLeftCell="C6" activePane="bottomRight" state="frozen"/>
    </x:sheetView>
  </x:sheetViews>
  <x:sheetFormatPr defaultRowHeight="15"/>
  <x:cols>
    <x:col min="1" max="1" width="11.670000076293945" hidden="0" customWidth="1"/>
    <x:col min="2" max="2" width="22.219999313354492" hidden="0" customWidth="1"/>
    <x:col min="3" max="3" width="33.33000183105469" hidden="0" customWidth="1"/>
    <x:col min="4" max="4" width="72.22000122070312" hidden="0" customWidth="1"/>
    <x:col min="5" max="5" width="72.22000122070312" hidden="0" customWidth="1"/>
    <x:col min="6" max="6" width="57.779998779296875" hidden="0" customWidth="1"/>
  </x:cols>
  <x:sheetData>
    <x:row r="1" ht="9" customHeight="1">
      <x:c r="A1" s="3"/>
      <x:c r="B1" s="3"/>
      <x:c r="C1" s="3"/>
      <x:c r="D1" s="3"/>
      <x:c r="E1" s="3"/>
      <x:c r="F1" s="3"/>
    </x:row>
    <x:row r="2" ht="24" customHeight="1">
      <x:c r="A2" s="4" t="str">
        <x:v>已有属性、能力与来源边界</x:v>
      </x:c>
      <x:c r="B2" s="3"/>
      <x:c r="C2" s="3"/>
      <x:c r="D2" s="3"/>
      <x:c r="E2" s="3"/>
      <x:c r="F2" s="3"/>
    </x:row>
    <x:row r="3" ht="21" customHeight="1">
      <x:c r="A3" s="5" t="str">
        <x:v>数值、行为参数和来源线索分别列出。42条归档记录包含测试、宝箱与地形，不是42种正式可用怪物。</x:v>
      </x:c>
      <x:c r="B3" s="3"/>
      <x:c r="C3" s="3"/>
      <x:c r="D3" s="3"/>
      <x:c r="E3" s="3"/>
      <x:c r="F3" s="3"/>
    </x:row>
    <x:row r="4">
      <x:c r="A4" s="6"/>
      <x:c r="B4" s="6"/>
      <x:c r="C4" s="6"/>
      <x:c r="D4" s="6"/>
      <x:c r="E4" s="6"/>
      <x:c r="F4" s="6"/>
    </x:row>
    <x:row r="5" ht="36" customHeight="1">
      <x:c r="A5" s="10" t="str">
        <x:v>类别</x:v>
      </x:c>
      <x:c r="B5" s="10" t="str">
        <x:v>设计字段/名称</x:v>
      </x:c>
      <x:c r="C5" s="10" t="str">
        <x:v>原字段或类型</x:v>
      </x:c>
      <x:c r="D5" s="10" t="str">
        <x:v>含义与适配</x:v>
      </x:c>
      <x:c r="E5" s="10" t="str">
        <x:v>当前源定位</x:v>
      </x:c>
      <x:c r="F5" s="10" t="str">
        <x:v>证据边界</x:v>
      </x:c>
    </x:row>
    <x:row r="6" ht="72" customHeight="1">
      <x:c r="A6" s="13" t="str">
        <x:v>实体数值</x:v>
      </x:c>
      <x:c r="B6" s="13" t="str">
        <x:v>hp</x:v>
      </x:c>
      <x:c r="C6" s="13" t="str">
        <x:v>科学词条.生命 / 科学词条.最大生命 / 当前生命 / 当前最大生命</x:v>
      </x:c>
      <x:c r="D6" s="13" t="str">
        <x:v>定义初始生命和生命上限；当前生命是运行时状态，不能用基础生命词条直接充当当前HP。</x:v>
      </x:c>
      <x:c r="E6" s="13" t="str">
        <x:v>battle-scene/src/core/sim/actor.ts:60-61
battle-scene/src/core/sys/kernel/actor.ts:66-70
battle-scene/src/core/sys/kernel/actor.ts:275-281
敌人总表 第6-47行</x:v>
      </x:c>
      <x:c r="F6" s="13" t="str">
        <x:v>字段有来源；本表各怪取值是新设计测试值。</x:v>
      </x:c>
    </x:row>
    <x:row r="7" ht="42" customHeight="1">
      <x:c r="A7" s="16" t="str">
        <x:v>实体数值</x:v>
      </x:c>
      <x:c r="B7" s="16" t="str">
        <x:v>attack</x:v>
      </x:c>
      <x:c r="C7" s="16" t="str">
        <x:v>科学词条.基础伤害</x:v>
      </x:c>
      <x:c r="D7" s="16" t="str">
        <x:v>技能伤害数值来源；最终伤害仍须真实技能倍率、伤害类型和减免消费者。</x:v>
      </x:c>
      <x:c r="E7" s="16" t="str">
        <x:v>battle-scene/src/content/demo/data/数据表_敌人_普通.ts:19-19
属性定义与词条 第23行</x:v>
      </x:c>
      <x:c r="F7" s="16" t="str">
        <x:v>字段有来源；本表各怪取值是新设计测试值。</x:v>
      </x:c>
    </x:row>
    <x:row r="8" ht="57" customHeight="1">
      <x:c r="A8" s="14" t="str">
        <x:v>实体数值</x:v>
      </x:c>
      <x:c r="B8" s="14" t="str">
        <x:v>heal</x:v>
      </x:c>
      <x:c r="C8" s="14" t="str">
        <x:v>科学词条.治愈</x:v>
      </x:c>
      <x:c r="D8" s="14" t="str">
        <x:v>治疗技能引用量；不是自动每回合回血。新同伴治疗需AI选人适配。</x:v>
      </x:c>
      <x:c r="E8" s="14" t="str">
        <x:v>battle-scene/src/content/bp/Skill/Ability/敌人/蓝图_能力_治愈_强固.ts:17-40
battle-scene/src/core/sys/damage/heal.ts:13-80
属性定义与词条 第61行</x:v>
      </x:c>
      <x:c r="F8" s="14" t="str">
        <x:v>字段有来源；本表各怪取值是新设计测试值。</x:v>
      </x:c>
    </x:row>
    <x:row r="9" ht="57" customHeight="1">
      <x:c r="A9" s="16" t="str">
        <x:v>实体数值</x:v>
      </x:c>
      <x:c r="B9" s="16" t="str">
        <x:v>fortify</x:v>
      </x:c>
      <x:c r="C9" s="16" t="str">
        <x:v>科学词条.护甲</x:v>
      </x:c>
      <x:c r="D9" s="16" t="str">
        <x:v>一次强固技能的生成量；当前存量为当前护甲值，护甲不是永久硬防数值。</x:v>
      </x:c>
      <x:c r="E9" s="16" t="str">
        <x:v>battle-scene/src/core/sim/actor.ts:59-59
battle-scene/src/core/sys/damage/heal.ts:34-39
属性定义与词条 第38行</x:v>
      </x:c>
      <x:c r="F9" s="16" t="str">
        <x:v>字段有来源；本表各怪取值是新设计测试值。</x:v>
      </x:c>
    </x:row>
    <x:row r="10" ht="57" customHeight="1">
      <x:c r="A10" s="14" t="str">
        <x:v>项目适配</x:v>
      </x:c>
      <x:c r="B10" s="14" t="str">
        <x:v>fortify_absorption_fraction</x:v>
      </x:c>
      <x:c r="C10" s="14" t="str">
        <x:v>科学词条.强固减伤%</x:v>
      </x:c>
      <x:c r="D10" s="14" t="str">
        <x:v>对于本项目100怪的强固消费者，初始化既有科学词条.强固减伤%=0.5，计算类型=加算，空来源=0.5，并作为项目合同常量记录；必须先在源行clone或运行时Map中显式建键。不得只调用添加科学映射值来试图补缺键。</x:v>
      </x:c>
      <x:c r="E10" s="14" t="str">
        <x:v>battle-scene/src/core/math/stats.ts:37-59
battle-scene/src/core/sys/damage/incoming.ts:115-138
battle-scene/tests/core-damage/incoming.test.ts:167-203</x:v>
      </x:c>
      <x:c r="F10" s="14" t="str">
        <x:v>源英雄0.5；源敌人28行缺键。不能称敌人原值或100%护盾。</x:v>
      </x:c>
    </x:row>
    <x:row r="11" ht="42" customHeight="1">
      <x:c r="A11" s="16" t="str">
        <x:v>既有字段</x:v>
      </x:c>
      <x:c r="B11" s="16" t="str">
        <x:v>强固可分担伤害比例</x:v>
      </x:c>
      <x:c r="C11" s="16" t="str">
        <x:v>科学词条.强固减伤%</x:v>
      </x:c>
      <x:c r="D11" s="16" t="str">
        <x:v>既有属性但敌人源行未配置；项目适配常量，禁止误标源敌人原值</x:v>
      </x:c>
      <x:c r="E11" s="16" t="str">
        <x:v>battle-scene/src/core/sys/damage/incoming.ts:115-138
battle-scene/src/content/demo/data/数据表_玩家.ts:18-21</x:v>
      </x:c>
      <x:c r="F11" s="16" t="str">
        <x:v>新增行为必须按来源ID接线。</x:v>
      </x:c>
    </x:row>
    <x:row r="12" ht="42" customHeight="1">
      <x:c r="A12" s="14" t="str">
        <x:v>既有字段</x:v>
      </x:c>
      <x:c r="B12" s="14" t="str">
        <x:v>一般伤害减免</x:v>
      </x:c>
      <x:c r="C12" s="14" t="str">
        <x:v>科学词条.伤害减免%</x:v>
      </x:c>
      <x:c r="D12" s="14" t="str">
        <x:v>仅作为防御姿态的既有词条来源修饰，不增加base_stats列；到期清除来源</x:v>
      </x:c>
      <x:c r="E12" s="14" t="str">
        <x:v>battle-scene/src/core/sys/damage/incoming.ts:21-37
battle-scene/src/core/math/stats.ts:33-49</x:v>
      </x:c>
      <x:c r="F12" s="14" t="str">
        <x:v>1 - product(1 - 每一来源值)</x:v>
      </x:c>
    </x:row>
    <x:row r="13" ht="31.5" customHeight="1">
      <x:c r="A13" s="16" t="str">
        <x:v>既有字段</x:v>
      </x:c>
      <x:c r="B13" s="16" t="str">
        <x:v>额外伤害比例</x:v>
      </x:c>
      <x:c r="C13" s="16" t="str">
        <x:v>科学词条.额外伤害%</x:v>
      </x:c>
      <x:c r="D13" s="16" t="str">
        <x:v>号令行为可用既有词条来源修饰；不得创建队伍攻击力新属性</x:v>
      </x:c>
      <x:c r="E13" s="16" t="str">
        <x:v>battle-scene/src/content/demo/data/数据表_敌人_普通.ts:19-19</x:v>
      </x:c>
      <x:c r="F13" s="16" t="str">
        <x:v>新增行为必须按来源ID接线。</x:v>
      </x:c>
    </x:row>
    <x:row r="14" ht="31.5" customHeight="1">
      <x:c r="A14" s="14" t="str">
        <x:v>既有字段</x:v>
      </x:c>
      <x:c r="B14" s="14" t="str">
        <x:v>原敌人行动力</x:v>
      </x:c>
      <x:c r="C14" s="14" t="str">
        <x:v>属性.行动力</x:v>
      </x:c>
      <x:c r="D14" s="14" t="str">
        <x:v>已有源属性；新回合脚本不沿用累积触发时禁止双重结算</x:v>
      </x:c>
      <x:c r="E14" s="14" t="str">
        <x:v>battle-scene/src/core/sys/kernel/actor.ts:50-58</x:v>
      </x:c>
      <x:c r="F14" s="14" t="str">
        <x:v>新增行为必须按来源ID接线。</x:v>
      </x:c>
    </x:row>
    <x:row r="15" ht="31.5" customHeight="1">
      <x:c r="A15" s="16" t="str">
        <x:v>既有字段</x:v>
      </x:c>
      <x:c r="B15" s="16" t="str">
        <x:v>最大物理速度</x:v>
      </x:c>
      <x:c r="C15" s="16" t="str">
        <x:v>属性.速度</x:v>
      </x:c>
      <x:c r="D15" s="16" t="str">
        <x:v>源物理量，不等同于每阶段移动房间格数</x:v>
      </x:c>
      <x:c r="E15" s="16" t="str">
        <x:v>battle-scene/src/core/sys/kernel/actor.ts:50-58</x:v>
      </x:c>
      <x:c r="F15" s="16" t="str">
        <x:v>新增行为必须按来源ID接线。</x:v>
      </x:c>
    </x:row>
    <x:row r="16" ht="31.5" customHeight="1">
      <x:c r="A16" s="14" t="str">
        <x:v>既有字段</x:v>
      </x:c>
      <x:c r="B16" s="14" t="str">
        <x:v>实体碰撞几何</x:v>
      </x:c>
      <x:c r="C16" s="14" t="str">
        <x:v>属性.高度/宽度</x:v>
      </x:c>
      <x:c r="D16" s="14" t="str">
        <x:v>不是装备格占格和新抗性属性</x:v>
      </x:c>
      <x:c r="E16" s="14" t="str">
        <x:v>battle-scene/src/core/sys/kernel/actor.ts:50-58</x:v>
      </x:c>
      <x:c r="F16" s="14" t="str">
        <x:v>新增行为必须按来源ID接线。</x:v>
      </x:c>
    </x:row>
    <x:row r="17" ht="42" customHeight="1">
      <x:c r="A17" s="16" t="str">
        <x:v>既有字段</x:v>
      </x:c>
      <x:c r="B17" s="16" t="str">
        <x:v>源质量</x:v>
      </x:c>
      <x:c r="C17" s="16" t="str">
        <x:v>科学词条.质量</x:v>
      </x:c>
      <x:c r="D17" s="16" t="str">
        <x:v>既有物理字段；牵引适配不添加抗拉属性</x:v>
      </x:c>
      <x:c r="E17" s="16" t="str">
        <x:v>battle-scene/src/core/sys/kernel/actor.ts:70-72
battle-scene/src/core/sys/physics/index.ts:251-262</x:v>
      </x:c>
      <x:c r="F17" s="16" t="str">
        <x:v>新增行为必须按来源ID接线。</x:v>
      </x:c>
    </x:row>
    <x:row r="18" ht="57" customHeight="1">
      <x:c r="A18" s="14" t="str">
        <x:v>能力边界</x:v>
      </x:c>
      <x:c r="B18" s="14" t="str">
        <x:v>heal</x:v>
      </x:c>
      <x:c r="C18" s="14" t="str">
        <x:v>源接口/消费者</x:v>
      </x:c>
      <x:c r="D18" s="14" t="str">
        <x:v>自愈/治愈_强固源类存在；源敌人自愈以自己为目标且低于80%生命可用。治疗管线封顶最大生命，溢出治疗另有DOT交互。</x:v>
      </x:c>
      <x:c r="E18" s="14" t="str">
        <x:v>battle-scene/src/content/bp/Skill/Ability/敌人/蓝图_能力_治愈_强固.ts:17-40
battle-scene/src/core/sys/damage/heal.ts:13-80
地牢搜打撤_GDD_2026-10-29/02_设计文档/02_房间怪物与难度.txt:44-44</x:v>
      </x:c>
      <x:c r="F18" s="14" t="str">
        <x:v>100怪的同伴选择、锁定/失效策略、次数/治疗占行动和预警需新AI消费者；需关闭暴击或明确继承，不让新固定量暗受源暴击。</x:v>
      </x:c>
    </x:row>
    <x:row r="19" ht="42" customHeight="1">
      <x:c r="A19" s="16" t="str">
        <x:v>能力边界</x:v>
      </x:c>
      <x:c r="B19" s="16" t="str">
        <x:v>fortify</x:v>
      </x:c>
      <x:c r="C19" s="16" t="str">
        <x:v>源接口/消费者</x:v>
      </x:c>
      <x:c r="D19" s="16" t="str">
        <x:v>铸甲读取护甲词条；获得治疗生命护甲分支累加当前护甲值，无源存量上限。</x:v>
      </x:c>
      <x:c r="E19" s="16" t="str">
        <x:v>battle-scene/src/content/demo/data/数据表_技能_默认.ts:54-54
battle-scene/src/core/sys/damage/heal.ts:34-39</x:v>
      </x:c>
      <x:c r="F19" s="16" t="str">
        <x:v>同伴强固选择、生成次数/存量上限、新阶段清除需适配；必须完成fortify_adaptation。</x:v>
      </x:c>
    </x:row>
    <x:row r="20" ht="42" customHeight="1">
      <x:c r="A20" s="14" t="str">
        <x:v>能力边界</x:v>
      </x:c>
      <x:c r="B20" s="14" t="str">
        <x:v>damage_reduction</x:v>
      </x:c>
      <x:c r="C20" s="14" t="str">
        <x:v>源接口/消费者</x:v>
      </x:c>
      <x:c r="D20" s="14" t="str">
        <x:v>一般即时伤害在非疲劳标记时乘(1-伤害减免%)；来源按乘算聚合。</x:v>
      </x:c>
      <x:c r="E20" s="14" t="str">
        <x:v>battle-scene/src/core/sys/damage/incoming.ts:21-37
battle-scene/src/core/math/stats.ts:33-49</x:v>
      </x:c>
      <x:c r="F20" s="14" t="str">
        <x:v>朝向条件、防御开合时序和结束移除来源需新AI消费者。75%上限若采用应引用项目合同，不能称incoming.ts自带clamp。</x:v>
      </x:c>
    </x:row>
    <x:row r="21" ht="42" customHeight="1">
      <x:c r="A21" s="16" t="str">
        <x:v>能力边界</x:v>
      </x:c>
      <x:c r="B21" s="16" t="str">
        <x:v>teleport</x:v>
      </x:c>
      <x:c r="C21" s="16" t="str">
        <x:v>源接口/消费者</x:v>
      </x:c>
      <x:c r="D21" s="16" t="str">
        <x:v>齐刘海闪现源类选择菱形环格并设置角色位置；被选中时关闭碰撞。</x:v>
      </x:c>
      <x:c r="E21" s="16" t="str">
        <x:v>battle-scene/src/content/bp/Skill/Ability/敌人/蓝图_能力_闪现.ts:10-29
battle-scene/src/content/demo/data/数据表_技能_默认.ts:63-63</x:v>
      </x:c>
      <x:c r="F21" s="16" t="str">
        <x:v>项目预告落点、保留合法安全落点、失败回退、执行后不追瞄需新逻辑；不能照抄空候选默认(0,0,0)，也不能无说明继承整回合无敌。</x:v>
      </x:c>
    </x:row>
    <x:row r="22" ht="42" customHeight="1">
      <x:c r="A22" s="14" t="str">
        <x:v>能力边界</x:v>
      </x:c>
      <x:c r="B22" s="14" t="str">
        <x:v>pull</x:v>
      </x:c>
      <x:c r="C22" s="14" t="str">
        <x:v>源接口/消费者</x:v>
      </x:c>
      <x:c r="D22" s="14" t="str">
        <x:v>物理持续力接口及装备黑洞的负径向力存在；本轮未发现敌人专用牵引技能。</x:v>
      </x:c>
      <x:c r="E22" s="14" t="str">
        <x:v>battle-scene/src/core/sys/physics/index.ts:169-183
battle-scene/src/content/bp/Skill/效果/物品/蓝图_效果_黑洞.ts:5-10</x:v>
      </x:c>
      <x:c r="F22" s="14" t="str">
        <x:v>敌人牵引为项目新AI：预告方向/最大距离、固体碰撞停止、英雄唯一命中、无安全落点回退均待实现。物理力不等于稳定移动一格，需要实际物理验证。</x:v>
      </x:c>
    </x:row>
    <x:row r="23" ht="57" customHeight="1">
      <x:c r="A23" s="16" t="str">
        <x:v>能力边界</x:v>
      </x:c>
      <x:c r="B23" s="16" t="str">
        <x:v>summon</x:v>
      </x:c>
      <x:c r="C23" s="16" t="str">
        <x:v>源接口/消费者</x:v>
      </x:c>
      <x:c r="D23" s="16" t="str">
        <x:v>召唤水母脑/蓝图_能力_召唤、眼球分裂/血卵孵化源消费者存在；召唤接口清空材料掉落、经验、价格。</x:v>
      </x:c>
      <x:c r="E23" s="16" t="str">
        <x:v>battle-scene/src/content/bp/Skill/Ability/蓝图_能力_召唤.ts:11-22
battle-scene/src/core/sys/turn/input.ts:167-183
地牢搜打撤_GDD_2026-10-29/02_设计文档/02_房间怪物与难度.txt:49-52</x:v>
      </x:c>
      <x:c r="F23" s="16" t="str">
        <x:v>新指定子嗣、合法出生位置、最多一代/每场次数、出生只预告、总实体6上限和原始奖励账本待适配；源接口仍套旧层成长，且没有明确清空装备掉落，必须覆盖全部独立奖励路径。</x:v>
      </x:c>
    </x:row>
    <x:row r="24" ht="57" customHeight="1">
      <x:c r="A24" s="14" t="str">
        <x:v>能力边界</x:v>
      </x:c>
      <x:c r="B24" s="14" t="str">
        <x:v>revive</x:v>
      </x:c>
      <x:c r="C24" s="14" t="str">
        <x:v>源接口/消费者</x:v>
      </x:c>
      <x:c r="D24" s="14" t="str">
        <x:v>通用被复活_重置存在：清死亡、回满HP/魔力、强固归零、移出墓地；不构成敌人一次复生AI。重生傀儡源固定技能为冲撞/电网/弹幕/力场/首领脚本，不能从名字推导复活。</x:v>
      </x:c>
      <x:c r="E24" s="14" t="str">
        <x:v>battle-scene/src/core/sys/turn/input.ts:152-165
battle-scene/src/content/demo/data/数据表_敌人_普通.ts:32-32
敌人总表 第26行</x:v>
      </x:c>
      <x:c r="F24" s="14" t="str">
        <x:v>一次复生是项目已接受的机制提案；残骸计时、能被击毁、复生比例、重新入场、一次奖励和一次复生标记需要新AI状态，不能新增复活资源属性。通用reset回满血不可直接当30%复生。</x:v>
      </x:c>
    </x:row>
    <x:row r="25" ht="57" customHeight="1">
      <x:c r="A25" s="16" t="str">
        <x:v>能力边界</x:v>
      </x:c>
      <x:c r="B25" s="16" t="str">
        <x:v>barrier</x:v>
      </x:c>
      <x:c r="C25" s="16" t="str">
        <x:v>源接口/消费者</x:v>
      </x:c>
      <x:c r="D25" s="16" t="str">
        <x:v>若指路障：筑墙源效果创建不可通行岩石；石墙是源敌人表行。若指力场：源偏转力场按回合开合并偏转投射，另有清强固/冲量副作用。二者不是通用100%护盾。</x:v>
      </x:c>
      <x:c r="E25" s="16" t="str">
        <x:v>battle-scene/src/content/bp/Skill/效果/敌人/蓝图_效果_筑墙.ts:8-29
battle-scene/src/content/bp/Skill/效果/敌人/蓝图_效果_偏转力场.ts:39-73
battle-scene/src/content/demo/data/数据表_敌人_普通.ts:34-34</x:v>
      </x:c>
      <x:c r="F25" s="16" t="str">
        <x:v>可拆路障的HP、可被基础碰撞破坏、阻塞连通性、存活回合/清除和实体预算需项目新适配；禁止将源力场所有隐藏副作用默认复制进新防御怪。</x:v>
      </x:c>
    </x:row>
    <x:row r="26" ht="42" customHeight="1">
      <x:c r="A26" s="14" t="str">
        <x:v>视觉候选</x:v>
      </x:c>
      <x:c r="B26" s="14" t="str">
        <x:v>大肠</x:v>
      </x:c>
      <x:c r="C26" s="14" t="str">
        <x:v>血蛆</x:v>
      </x:c>
      <x:c r="D26" s="14" t="str">
        <x:v>正式源记录存在；不代表该100设计已有独立美术或已验收动作。</x:v>
      </x:c>
      <x:c r="E26" s="14" t="str">
        <x:v>敌人总表 第15行
battle-scene/src/content/demo/data/数据表_敌人_普通.ts:22</x:v>
      </x:c>
      <x:c r="F26" s="14" t="str">
        <x:v>源首领标签、旧随机技能与旧成长均须移除/覆盖。</x:v>
      </x:c>
    </x:row>
    <x:row r="27" ht="42" customHeight="1">
      <x:c r="A27" s="16" t="str">
        <x:v>视觉候选</x:v>
      </x:c>
      <x:c r="B27" s="16" t="str">
        <x:v>大肠团</x:v>
      </x:c>
      <x:c r="C27" s="16" t="str">
        <x:v>血蛆结节</x:v>
      </x:c>
      <x:c r="D27" s="16" t="str">
        <x:v>正式源记录存在；不代表该100设计已有独立美术或已验收动作。</x:v>
      </x:c>
      <x:c r="E27" s="16" t="str">
        <x:v>敌人总表 第18行
battle-scene/src/content/demo/data/数据表_敌人_普通.ts:25</x:v>
      </x:c>
      <x:c r="F27" s="16" t="str">
        <x:v>源首领标签、旧随机技能与旧成长均须移除/覆盖。</x:v>
      </x:c>
    </x:row>
    <x:row r="28" ht="42" customHeight="1">
      <x:c r="A28" s="14" t="str">
        <x:v>视觉候选</x:v>
      </x:c>
      <x:c r="B28" s="14" t="str">
        <x:v>大肠血卵</x:v>
      </x:c>
      <x:c r="C28" s="14" t="str">
        <x:v>血卵</x:v>
      </x:c>
      <x:c r="D28" s="14" t="str">
        <x:v>正式源记录存在；不代表该100设计已有独立美术或已验收动作。</x:v>
      </x:c>
      <x:c r="E28" s="14" t="str">
        <x:v>敌人总表 第16行
battle-scene/src/content/demo/data/数据表_敌人_普通.ts:23</x:v>
      </x:c>
      <x:c r="F28" s="14" t="str">
        <x:v>源首领标签、旧随机技能与旧成长均须移除/覆盖。</x:v>
      </x:c>
    </x:row>
    <x:row r="29" ht="42" customHeight="1">
      <x:c r="A29" s="16" t="str">
        <x:v>视觉候选</x:v>
      </x:c>
      <x:c r="B29" s="16" t="str">
        <x:v>水母脑</x:v>
      </x:c>
      <x:c r="C29" s="16" t="str">
        <x:v>浮游脑</x:v>
      </x:c>
      <x:c r="D29" s="16" t="str">
        <x:v>正式源记录存在；不代表该100设计已有独立美术或已验收动作。</x:v>
      </x:c>
      <x:c r="E29" s="16" t="str">
        <x:v>敌人总表 第24行
battle-scene/src/content/demo/data/数据表_敌人_普通.ts:30</x:v>
      </x:c>
      <x:c r="F29" s="16" t="str">
        <x:v>源首领标签、旧随机技能与旧成长均须移除/覆盖。</x:v>
      </x:c>
    </x:row>
    <x:row r="30" ht="42" customHeight="1">
      <x:c r="A30" s="14" t="str">
        <x:v>视觉候选</x:v>
      </x:c>
      <x:c r="B30" s="14" t="str">
        <x:v>火球精</x:v>
      </x:c>
      <x:c r="C30" s="14" t="str">
        <x:v>火球精</x:v>
      </x:c>
      <x:c r="D30" s="14" t="str">
        <x:v>正式源记录存在；不代表该100设计已有独立美术或已验收动作。</x:v>
      </x:c>
      <x:c r="E30" s="14" t="str">
        <x:v>敌人总表 第46行
battle-scene/src/content/demo/data/数据表_敌人_普通.ts:41</x:v>
      </x:c>
      <x:c r="F30" s="14" t="str">
        <x:v>源首领标签、旧随机技能与旧成长均须移除/覆盖。</x:v>
      </x:c>
    </x:row>
    <x:row r="31" ht="42" customHeight="1">
      <x:c r="A31" s="16" t="str">
        <x:v>视觉候选</x:v>
      </x:c>
      <x:c r="B31" s="16" t="str">
        <x:v>盗宝黏菌</x:v>
      </x:c>
      <x:c r="C31" s="16" t="str">
        <x:v>盗宝黏菌</x:v>
      </x:c>
      <x:c r="D31" s="16" t="str">
        <x:v>正式源记录存在；不代表该100设计已有独立美术或已验收动作。</x:v>
      </x:c>
      <x:c r="E31" s="16" t="str">
        <x:v>敌人总表 第27行
battle-scene/src/content/demo/data/数据表_敌人_普通.ts:33</x:v>
      </x:c>
      <x:c r="F31" s="16" t="str">
        <x:v>源首领标签、旧随机技能与旧成长均须移除/覆盖。</x:v>
      </x:c>
    </x:row>
    <x:row r="32" ht="42" customHeight="1">
      <x:c r="A32" s="14" t="str">
        <x:v>视觉候选</x:v>
      </x:c>
      <x:c r="B32" s="14" t="str">
        <x:v>眼球</x:v>
      </x:c>
      <x:c r="C32" s="14" t="str">
        <x:v>眼球虫</x:v>
      </x:c>
      <x:c r="D32" s="14" t="str">
        <x:v>正式源记录存在；不代表该100设计已有独立美术或已验收动作。</x:v>
      </x:c>
      <x:c r="E32" s="14" t="str">
        <x:v>敌人总表 第12行
battle-scene/src/content/demo/data/数据表_敌人_普通.ts:19</x:v>
      </x:c>
      <x:c r="F32" s="14" t="str">
        <x:v>源首领标签、旧随机技能与旧成长均须移除/覆盖。</x:v>
      </x:c>
    </x:row>
    <x:row r="33" ht="42" customHeight="1">
      <x:c r="A33" s="16" t="str">
        <x:v>视觉候选</x:v>
      </x:c>
      <x:c r="B33" s="16" t="str">
        <x:v>眼球包</x:v>
      </x:c>
      <x:c r="C33" s="16" t="str">
        <x:v>眼球虫团</x:v>
      </x:c>
      <x:c r="D33" s="16" t="str">
        <x:v>正式源记录存在；不代表该100设计已有独立美术或已验收动作。</x:v>
      </x:c>
      <x:c r="E33" s="16" t="str">
        <x:v>敌人总表 第13行
battle-scene/src/content/demo/data/数据表_敌人_普通.ts:20</x:v>
      </x:c>
      <x:c r="F33" s="16" t="str">
        <x:v>源首领标签、旧随机技能与旧成长均须移除/覆盖。</x:v>
      </x:c>
    </x:row>
    <x:row r="34" ht="42" customHeight="1">
      <x:c r="A34" s="14" t="str">
        <x:v>视觉候选</x:v>
      </x:c>
      <x:c r="B34" s="14" t="str">
        <x:v>章鱼脑</x:v>
      </x:c>
      <x:c r="C34" s="14" t="str">
        <x:v>活脑母体</x:v>
      </x:c>
      <x:c r="D34" s="14" t="str">
        <x:v>正式源记录存在；不代表该100设计已有独立美术或已验收动作。</x:v>
      </x:c>
      <x:c r="E34" s="14" t="str">
        <x:v>敌人总表 第25行
battle-scene/src/content/demo/data/数据表_敌人_普通.ts:31</x:v>
      </x:c>
      <x:c r="F34" s="14" t="str">
        <x:v>源首领标签、旧随机技能与旧成长均须移除/覆盖。</x:v>
      </x:c>
    </x:row>
    <x:row r="35" ht="42" customHeight="1">
      <x:c r="A35" s="16" t="str">
        <x:v>视觉候选</x:v>
      </x:c>
      <x:c r="B35" s="16" t="str">
        <x:v>结晶</x:v>
      </x:c>
      <x:c r="C35" s="16" t="str">
        <x:v>活体结晶</x:v>
      </x:c>
      <x:c r="D35" s="16" t="str">
        <x:v>正式源记录存在；不代表该100设计已有独立美术或已验收动作。</x:v>
      </x:c>
      <x:c r="E35" s="16" t="str">
        <x:v>敌人总表 第21行
battle-scene/src/content/demo/data/数据表_敌人_普通.ts:27</x:v>
      </x:c>
      <x:c r="F35" s="16" t="str">
        <x:v>源首领标签、旧随机技能与旧成长均须移除/覆盖。</x:v>
      </x:c>
    </x:row>
    <x:row r="36" ht="42" customHeight="1">
      <x:c r="A36" s="14" t="str">
        <x:v>视觉候选</x:v>
      </x:c>
      <x:c r="B36" s="14" t="str">
        <x:v>结晶簇</x:v>
      </x:c>
      <x:c r="C36" s="14" t="str">
        <x:v>活体结晶簇</x:v>
      </x:c>
      <x:c r="D36" s="14" t="str">
        <x:v>正式源记录存在；不代表该100设计已有独立美术或已验收动作。</x:v>
      </x:c>
      <x:c r="E36" s="14" t="str">
        <x:v>敌人总表 第22行
battle-scene/src/content/demo/data/数据表_敌人_普通.ts:28</x:v>
      </x:c>
      <x:c r="F36" s="14" t="str">
        <x:v>源首领标签、旧随机技能与旧成长均须移除/覆盖。</x:v>
      </x:c>
    </x:row>
    <x:row r="37" ht="42" customHeight="1">
      <x:c r="A37" s="16" t="str">
        <x:v>视觉候选</x:v>
      </x:c>
      <x:c r="B37" s="16" t="str">
        <x:v>结晶骑士</x:v>
      </x:c>
      <x:c r="C37" s="16" t="str">
        <x:v>结晶骑士</x:v>
      </x:c>
      <x:c r="D37" s="16" t="str">
        <x:v>正式源记录存在；不代表该100设计已有独立美术或已验收动作。</x:v>
      </x:c>
      <x:c r="E37" s="16" t="str">
        <x:v>敌人总表 第23行
battle-scene/src/content/demo/data/数据表_敌人_普通.ts:29</x:v>
      </x:c>
      <x:c r="F37" s="16" t="str">
        <x:v>源首领标签、旧随机技能与旧成长均须移除/覆盖。</x:v>
      </x:c>
    </x:row>
    <x:row r="38" ht="42" customHeight="1">
      <x:c r="A38" s="14" t="str">
        <x:v>视觉候选</x:v>
      </x:c>
      <x:c r="B38" s="14" t="str">
        <x:v>重生傀儡</x:v>
      </x:c>
      <x:c r="C38" s="14" t="str">
        <x:v>重生傀儡</x:v>
      </x:c>
      <x:c r="D38" s="14" t="str">
        <x:v>正式源记录存在；不代表该100设计已有独立美术或已验收动作。</x:v>
      </x:c>
      <x:c r="E38" s="14" t="str">
        <x:v>敌人总表 第26行
battle-scene/src/content/demo/data/数据表_敌人_普通.ts:32</x:v>
      </x:c>
      <x:c r="F38" s="14" t="str">
        <x:v>源首领标签、旧随机技能与旧成长均须移除/覆盖。</x:v>
      </x:c>
    </x:row>
    <x:row r="39" ht="42" customHeight="1">
      <x:c r="A39" s="16" t="str">
        <x:v>视觉候选</x:v>
      </x:c>
      <x:c r="B39" s="16" t="str">
        <x:v>齐刘海</x:v>
      </x:c>
      <x:c r="C39" s="16" t="str">
        <x:v>幽魂</x:v>
      </x:c>
      <x:c r="D39" s="16" t="str">
        <x:v>正式源记录存在；不代表该100设计已有独立美术或已验收动作。</x:v>
      </x:c>
      <x:c r="E39" s="16" t="str">
        <x:v>敌人总表 第30行
battle-scene/src/content/demo/data/数据表_敌人_普通.ts:36</x:v>
      </x:c>
      <x:c r="F39" s="16" t="str">
        <x:v>源首领标签、旧随机技能与旧成长均须移除/覆盖。</x:v>
      </x:c>
    </x:row>
    <x:row r="40" ht="31.5" customHeight="1">
      <x:c r="A40" s="15" t="str">
        <x:v>伤害枚举</x:v>
      </x:c>
      <x:c r="B40" s="15" t="str">
        <x:v>本表采用</x:v>
      </x:c>
      <x:c r="C40" s="15" t="str">
        <x:v>物理 / 爆炸 / 抓钩</x:v>
      </x:c>
      <x:c r="D40" s="15" t="str">
        <x:v>牵引主动作伤害0；地面余波不新增酸/冰抗性。</x:v>
      </x:c>
      <x:c r="E40" s="15" t="str">
        <x:v>battle-scene/src/content/demo/types.ts:160-163</x:v>
      </x:c>
      <x:c r="F40" s="15" t="str">
        <x:v>完整枚举与源文件哈希见字段与能力依据.json。</x:v>
      </x:c>
    </x:row>
  </x:sheetData>
  <x:pageMargins left="0.7" right="0.7" top="0.75" bottom="0.75" header="0.3" footer="0.3"/>
  <x:tableParts count="1">
    <x:tablePart xmlns:r="http://schemas.openxmlformats.org/officeDocument/2006/relationships" r:id="Ra9e7d2fdca48440d"/>
  </x:tableParts>
</x:worksheet>
</file>

<file path=xl/worksheets/sheet7.xml><?xml version="1.0" encoding="utf-8"?>
<x:worksheet xmlns:x="http://schemas.openxmlformats.org/spreadsheetml/2006/main">
  <x:sheetPr>
    <x:tabColor rgb="FF7E6F59"/>
  </x:sheetPr>
  <x:sheetViews>
    <x:sheetView showGridLines="0" workbookViewId="0">
      <x:pane xSplit="1" ySplit="5" topLeftCell="B6" activePane="bottomRight" state="frozen"/>
    </x:sheetView>
  </x:sheetViews>
  <x:sheetFormatPr defaultRowHeight="15"/>
  <x:cols>
    <x:col min="1" max="1" width="54.439998626708984" hidden="0" customWidth="1"/>
    <x:col min="2" max="2" width="10.5600004196167" hidden="0" customWidth="1"/>
    <x:col min="3" max="3" width="100" hidden="0" customWidth="1"/>
    <x:col min="4" max="4" width="20" hidden="0" customWidth="1"/>
  </x:cols>
  <x:sheetData>
    <x:row r="1" ht="9" customHeight="1">
      <x:c r="A1" s="3"/>
      <x:c r="B1" s="3"/>
      <x:c r="C1" s="3"/>
      <x:c r="D1" s="3"/>
    </x:row>
    <x:row r="2" ht="24" customHeight="1">
      <x:c r="A2" s="4" t="str">
        <x:v>离线检查结果与运行验收</x:v>
      </x:c>
      <x:c r="B2" s="3"/>
      <x:c r="C2" s="3"/>
      <x:c r="D2" s="3"/>
    </x:row>
    <x:row r="3" ht="21" customHeight="1">
      <x:c r="A3" s="5" t="str">
        <x:v>本次覆盖10800个编队样本。下方运行项目尚未执行，不能用通过项替代。</x:v>
      </x:c>
      <x:c r="B3" s="3"/>
      <x:c r="C3" s="3"/>
      <x:c r="D3" s="3"/>
    </x:row>
    <x:row r="4">
      <x:c r="A4" s="6"/>
      <x:c r="B4" s="6"/>
      <x:c r="C4" s="6"/>
      <x:c r="D4" s="6"/>
    </x:row>
    <x:row r="5" ht="36" customHeight="1">
      <x:c r="A5" s="10" t="str">
        <x:v>项目</x:v>
      </x:c>
      <x:c r="B5" s="10" t="str">
        <x:v>状态</x:v>
      </x:c>
      <x:c r="C5" s="10" t="str">
        <x:v>结果/要求</x:v>
      </x:c>
      <x:c r="D5" s="10" t="str">
        <x:v>证据范围</x:v>
      </x:c>
    </x:row>
    <x:row r="6" ht="31.5" customHeight="1">
      <x:c r="A6" s="13" t="str">
        <x:v>100条稳定ID、80普通/20精英、名称唯一</x:v>
      </x:c>
      <x:c r="B6" s="13" t="str">
        <x:v>通过</x:v>
      </x:c>
      <x:c r="C6" s="13" t="str"/>
      <x:c r="D6" s="13" t="str">
        <x:v>离线设计与参考算法</x:v>
      </x:c>
    </x:row>
    <x:row r="7" ht="31.5" customHeight="1">
      <x:c r="A7" s="16" t="str">
        <x:v>20家族各4普通与1精英</x:v>
      </x:c>
      <x:c r="B7" s="16" t="str">
        <x:v>通过</x:v>
      </x:c>
      <x:c r="C7" s="16" t="str"/>
      <x:c r="D7" s="16" t="str">
        <x:v>离线设计与参考算法</x:v>
      </x:c>
    </x:row>
    <x:row r="8" ht="31.5" customHeight="1">
      <x:c r="A8" s="14" t="str">
        <x:v>实体数值仅4个已核字段，行为参数与运行状态分离</x:v>
      </x:c>
      <x:c r="B8" s="14" t="str">
        <x:v>通过</x:v>
      </x:c>
      <x:c r="C8" s="14" t="str">
        <x:v>hp/attack/heal/fortify；范围/计数属于AI参数；全部100条标未运行验证</x:v>
      </x:c>
      <x:c r="D8" s="14" t="str">
        <x:v>离线设计与参考算法</x:v>
      </x:c>
    </x:row>
    <x:row r="9" ht="31.5" customHeight="1">
      <x:c r="A9" s="16" t="str">
        <x:v>外观候选均有正式源记录，未使用测试/宝箱行冒充怪物</x:v>
      </x:c>
      <x:c r="B9" s="16" t="str">
        <x:v>通过</x:v>
      </x:c>
      <x:c r="C9" s="16" t="str">
        <x:v>记录存在不等于视觉/动画已验收</x:v>
      </x:c>
      <x:c r="D9" s="16" t="str">
        <x:v>离线设计与参考算法</x:v>
      </x:c>
    </x:row>
    <x:row r="10" ht="31.5" customHeight="1">
      <x:c r="A10" s="14" t="str">
        <x:v>伤害来源和类型只使用已存在枚举</x:v>
      </x:c>
      <x:c r="B10" s="14" t="str">
        <x:v>通过</x:v>
      </x:c>
      <x:c r="C10" s="14" t="str"/>
      <x:c r="D10" s="14" t="str">
        <x:v>离线设计与参考算法</x:v>
      </x:c>
    </x:row>
    <x:row r="11" ht="31.5" customHeight="1">
      <x:c r="A11" s="16" t="str">
        <x:v>变体按实际编队标签计数，远程变体不冒充前排</x:v>
      </x:c>
      <x:c r="B11" s="16" t="str">
        <x:v>通过</x:v>
      </x:c>
      <x:c r="C11" s="16" t="str">
        <x:v>射线姿态、复生射手、瞬移射手都提前占远程名额；具体字段不是数值属性</x:v>
      </x:c>
      <x:c r="D11" s="16" t="str">
        <x:v>离线设计与参考算法</x:v>
      </x:c>
    </x:row>
    <x:row r="12" ht="31.5" customHeight="1">
      <x:c r="A12" s="14" t="str">
        <x:v>伤害分支来源有明确映射且沿用已有枚举</x:v>
      </x:c>
      <x:c r="B12" s="14" t="str">
        <x:v>通过</x:v>
      </x:c>
      <x:c r="C12" s="14" t="str"/>
      <x:c r="D12" s="14" t="str">
        <x:v>离线设计与参考算法</x:v>
      </x:c>
    </x:row>
    <x:row r="13" ht="31.5" customHeight="1">
      <x:c r="A13" s="16" t="str">
        <x:v>20精英父型有效，基型值未预乘，额外机制有说明</x:v>
      </x:c>
      <x:c r="B13" s="16" t="str">
        <x:v>通过</x:v>
      </x:c>
      <x:c r="C13" s="16" t="str">
        <x:v>层/波/精英各乘一次；治疗/强固不额外乘精英或波</x:v>
      </x:c>
      <x:c r="D13" s="16" t="str">
        <x:v>离线设计与参考算法</x:v>
      </x:c>
    </x:row>
    <x:row r="14" ht="31.5" customHeight="1">
      <x:c r="A14" s="14" t="str">
        <x:v>行为定义有独立配置与同族差异，不以生命/伤害值区分</x:v>
      </x:c>
      <x:c r="B14" s="14" t="str">
        <x:v>通过</x:v>
      </x:c>
      <x:c r="C14" s="14" t="str">
        <x:v>这是结构检查；实际策略差异仍须逐条场景验证</x:v>
      </x:c>
      <x:c r="D14" s="14" t="str">
        <x:v>离线设计与参考算法</x:v>
      </x:c>
    </x:row>
    <x:row r="15" ht="31.5" customHeight="1">
      <x:c r="A15" s="16" t="str">
        <x:v>生前周期与一次事件分支分开，重复事件不重新触发</x:v>
      </x:c>
      <x:c r="B15" s="16" t="str">
        <x:v>通过</x:v>
      </x:c>
      <x:c r="C15" s="16" t="str">
        <x:v>{"event_branches":12,"boundary":"仅调度定义，未执行真实死亡/复生消费者"}</x:v>
      </x:c>
      <x:c r="D15" s="16" t="str">
        <x:v>离线设计与参考算法</x:v>
      </x:c>
    </x:row>
    <x:row r="16" ht="31.5" customHeight="1">
      <x:c r="A16" s="14" t="str">
        <x:v>严格血量阈值、完整事件预警与同轮取消保留一次账本</x:v>
      </x:c>
      <x:c r="B16" s="14" t="str">
        <x:v>通过</x:v>
      </x:c>
      <x:c r="C16" s="14" t="str">
        <x:v>等于阈值不触发；出生当次只预警；同轮重复推进不会屏蔽取消</x:v>
      </x:c>
      <x:c r="D16" s="14" t="str">
        <x:v>离线设计与参考算法</x:v>
      </x:c>
    </x:row>
    <x:row r="17" ht="31.5" customHeight="1">
      <x:c r="A17" s="16" t="str">
        <x:v>末只根怪死亡仍等待分裂/复生，终止后才可清波</x:v>
      </x:c>
      <x:c r="B17" s="16" t="str">
        <x:v>通过</x:v>
      </x:c>
      <x:c r="C17" s="16" t="str">
        <x:v>只测清波门；实际死亡、实体注册与事件账本须在运行时同一事务内更新</x:v>
      </x:c>
      <x:c r="D17" s="16" t="str">
        <x:v>离线设计与参考算法</x:v>
      </x:c>
    </x:row>
    <x:row r="18" ht="31.5" customHeight="1">
      <x:c r="A18" s="14" t="str">
        <x:v>复生射手切换声明的第二形态周期</x:v>
      </x:c>
      <x:c r="B18" s="14" t="str">
        <x:v>通过</x:v>
      </x:c>
      <x:c r="C18" s="14" t="str">
        <x:v>阶段选择参考；尚未运行投射物和角色重建</x:v>
      </x:c>
      <x:c r="D18" s="14" t="str">
        <x:v>离线设计与参考算法</x:v>
      </x:c>
    </x:row>
    <x:row r="19" ht="57" customHeight="1">
      <x:c r="A19" s="16" t="str">
        <x:v>1至100层有限且单调，F1/F2锚点不变</x:v>
      </x:c>
      <x:c r="B19" s="16" t="str">
        <x:v>通过</x:v>
      </x:c>
      <x:c r="C19" s="16" t="str">
        <x:v>{"1":{"hp":1,"attack":1},"2":{"hp":1.45,"attack":1.22},"5":{"hp":1.6176209015082499,"attack":1.2776564270993032},"10":{"hp":1.9411450818098999,"attack":1.3798689412672471},"20":{"hp":2.7952489178062554,"attack":1.6094791330941176},"50":{"hp":8.346568544586791,"attack":2.5540411096212248},"100":{"hp":51.67975245957619,"attack":5.5139831956235925}}</x:v>
      </x:c>
      <x:c r="D19" s="16" t="str">
        <x:v>数值算术；不等于深层平衡</x:v>
      </x:c>
    </x:row>
    <x:row r="20" ht="31.5" customHeight="1">
      <x:c r="A20" s="14" t="str">
        <x:v>同基型下层开场的生命/伤害倍率低于上层第6波</x:v>
      </x:c>
      <x:c r="B20" s="14" t="str">
        <x:v>通过</x:v>
      </x:c>
      <x:c r="C20" s="14" t="str">
        <x:v>换怪种和房间后的真实压力仍需实测</x:v>
      </x:c>
      <x:c r="D20" s="14" t="str">
        <x:v>离线设计与参考算法</x:v>
      </x:c>
    </x:row>
    <x:row r="21" ht="31.5" customHeight="1">
      <x:c r="A21" s="16" t="str">
        <x:v>非法层数明确拒绝，未静默钳制</x:v>
      </x:c>
      <x:c r="B21" s="16" t="str">
        <x:v>通过</x:v>
      </x:c>
      <x:c r="C21" s="16" t="str"/>
      <x:c r="D21" s="16" t="str">
        <x:v>离线设计与参考算法</x:v>
      </x:c>
    </x:row>
    <x:row r="22" ht="31.5" customHeight="1">
      <x:c r="A22" s="14" t="str">
        <x:v>全部100条在解锁后都有合法预算/占位配对</x:v>
      </x:c>
      <x:c r="B22" s="14" t="str">
        <x:v>通过</x:v>
      </x:c>
      <x:c r="C22" s="14" t="str">
        <x:v>至少有一个普通前排/第二成员配对；不证明实际空间安全</x:v>
      </x:c>
      <x:c r="D22" s="14" t="str">
        <x:v>离线设计与参考算法</x:v>
      </x:c>
    </x:row>
    <x:row r="23" ht="31.5" customHeight="1">
      <x:c r="A23" s="16" t="str">
        <x:v>多层编队符合预算、实体预留、数量、精英与禁配限制</x:v>
      </x:c>
      <x:c r="B23" s="16" t="str">
        <x:v>通过</x:v>
      </x:c>
      <x:c r="C23" s="16" t="str">
        <x:v>{"seeds":200,"floors":[1,2,3,5,8,12,20,50,100],"encounters":10800,"observed_definitions":100,"unobserved_ids":[]}</x:v>
      </x:c>
      <x:c r="D23" s="16" t="str">
        <x:v>离线设计与参考算法</x:v>
      </x:c>
    </x:row>
    <x:row r="24" ht="31.5" customHeight="1">
      <x:c r="A24" s="14" t="str">
        <x:v>波奖励按初始成员分摊守恒，后代无独立奖励</x:v>
      </x:c>
      <x:c r="B24" s="14" t="str">
        <x:v>通过</x:v>
      </x:c>
      <x:c r="C24" s="14" t="str">
        <x:v>137金币/89经验固定边界输入；实际波总额由原经济模块提供</x:v>
      </x:c>
      <x:c r="D24" s="14" t="str">
        <x:v>离线设计与参考算法</x:v>
      </x:c>
    </x:row>
    <x:row r="25" ht="31.5" customHeight="1">
      <x:c r="A25" s="16" t="str">
        <x:v>确定性随机重放与保存恢复一致</x:v>
      </x:c>
      <x:c r="B25" s="16" t="str">
        <x:v>通过</x:v>
      </x:c>
      <x:c r="C25" s="16" t="str">
        <x:v>FNV-1a UTF-8 + xorshift32，独立domain，不读取玩家战力</x:v>
      </x:c>
      <x:c r="D25" s="16" t="str">
        <x:v>离线设计与参考算法</x:v>
      </x:c>
    </x:row>
    <x:row r="26" ht="31.5" customHeight="1">
      <x:c r="A26" s="14" t="str">
        <x:v>强固按0.5分担而非全额护盾</x:v>
      </x:c>
      <x:c r="B26" s="14" t="str">
        <x:v>通过</x:v>
      </x:c>
      <x:c r="C26" s="14" t="str">
        <x:v>数学参考；实际消费者缺键初始化仍待接入</x:v>
      </x:c>
      <x:c r="D26" s="14" t="str">
        <x:v>离线设计与参考算法</x:v>
      </x:c>
    </x:row>
    <x:row r="27" ht="31.5" customHeight="1">
      <x:c r="A27" s="16" t="str">
        <x:v>CSV完整保留100条、稳定ID及一次事件分支</x:v>
      </x:c>
      <x:c r="B27" s="16" t="str">
        <x:v>通过</x:v>
      </x:c>
      <x:c r="C27" s="16" t="str"/>
      <x:c r="D27" s="16" t="str">
        <x:v>离线设计与参考算法</x:v>
      </x:c>
    </x:row>
    <x:row r="28" ht="31.5" customHeight="1">
      <x:c r="A28" s="14" t="str">
        <x:v>真实战斗</x:v>
      </x:c>
      <x:c r="B28" s="14" t="str">
        <x:v>待实施</x:v>
      </x:c>
      <x:c r="C28" s="14" t="str">
        <x:v>100条AI、预告、投射、碰撞、伤害/治疗/强固逐条通过其验收场景。</x:v>
      </x:c>
      <x:c r="D28" s="14" t="str">
        <x:v>运行验收</x:v>
      </x:c>
    </x:row>
    <x:row r="29" ht="31.5" customHeight="1">
      <x:c r="A29" s="16" t="str">
        <x:v>共同安全落点</x:v>
      </x:c>
      <x:c r="B29" s="16" t="str">
        <x:v>待实施</x:v>
      </x:c>
      <x:c r="C29" s="16" t="str">
        <x:v>使用实际英雄半径、完整反弹与整个敌方阶段验证；配置合法不能替代。</x:v>
      </x:c>
      <x:c r="D29" s="16" t="str">
        <x:v>操作验收</x:v>
      </x:c>
    </x:row>
    <x:row r="30" ht="31.5" customHeight="1">
      <x:c r="A30" s="14" t="str">
        <x:v>断点与奖励</x:v>
      </x:c>
      <x:c r="B30" s="14" t="str">
        <x:v>待实施</x:v>
      </x:c>
      <x:c r="C30" s="14" t="str">
        <x:v>死亡、召唤、复生、重载、重复命令不复制奖励，不恢复旧次数。</x:v>
      </x:c>
      <x:c r="D30" s="14" t="str">
        <x:v>存档验收</x:v>
      </x:c>
    </x:row>
    <x:row r="31" ht="31.5" customHeight="1">
      <x:c r="A31" s="17" t="str">
        <x:v>深层强度</x:v>
      </x:c>
      <x:c r="B31" s="17" t="str">
        <x:v>待实测</x:v>
      </x:c>
      <x:c r="C31" s="17" t="str">
        <x:v>同套构筑跨层比较回合数、受击与体力净耗；不能以公式单调当作平衡。</x:v>
      </x:c>
      <x:c r="D31" s="17" t="str">
        <x:v>玩家体验</x:v>
      </x:c>
    </x:row>
  </x:sheetData>
  <x:pageMargins left="0.7" right="0.7" top="0.75" bottom="0.75" header="0.3" footer="0.3"/>
  <x:tableParts count="1">
    <x:tablePart xmlns:r="http://schemas.openxmlformats.org/officeDocument/2006/relationships" r:id="R0c02e8c21bb64e0e"/>
  </x:tableParts>
</x:worksheet>
</file>